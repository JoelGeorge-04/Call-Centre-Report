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Types.xml" ContentType="application/vnd.ms-excel.rdrichvaluetypes+xml"/>
  <Override PartName="/xl/richData/richValueRel.xml" ContentType="application/vnd.ms-excel.richvaluerel+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hidePivotFieldList="1"/>
  <mc:AlternateContent xmlns:mc="http://schemas.openxmlformats.org/markup-compatibility/2006">
    <mc:Choice Requires="x15">
      <x15ac:absPath xmlns:x15ac="http://schemas.microsoft.com/office/spreadsheetml/2010/11/ac" url="D:\Projects\"/>
    </mc:Choice>
  </mc:AlternateContent>
  <xr:revisionPtr revIDLastSave="0" documentId="13_ncr:1_{60D8CD82-9E7D-4A3D-85C3-465BA6722DB6}" xr6:coauthVersionLast="47" xr6:coauthVersionMax="47" xr10:uidLastSave="{00000000-0000-0000-0000-000000000000}"/>
  <bookViews>
    <workbookView xWindow="-108" yWindow="-108" windowWidth="23256" windowHeight="12456" activeTab="2" xr2:uid="{26D4546B-D2A1-4444-8EAF-A6228F96F0C1}"/>
  </bookViews>
  <sheets>
    <sheet name="Data" sheetId="2" r:id="rId1"/>
    <sheet name="Pivots" sheetId="6" r:id="rId2"/>
    <sheet name="Customer Centre Report" sheetId="5" r:id="rId3"/>
    <sheet name="Assets" sheetId="4" r:id="rId4"/>
  </sheets>
  <definedNames>
    <definedName name="_xlnm._FilterDatabase" localSheetId="0"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81029"/>
  <pivotCaches>
    <pivotCache cacheId="0" r:id="rId5"/>
    <pivotCache cacheId="8" r:id="rId6"/>
    <pivotCache cacheId="138" r:id="rId7"/>
    <pivotCache cacheId="141" r:id="rId8"/>
    <pivotCache cacheId="144" r:id="rId9"/>
    <pivotCache cacheId="147" r:id="rId10"/>
    <pivotCache cacheId="150" r:id="rId11"/>
    <pivotCache cacheId="153" r:id="rId12"/>
    <pivotCache cacheId="156"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P17" i="5" l="1"/>
  <c r="P22" i="5"/>
  <c r="P18" i="5"/>
  <c r="Q18" i="5"/>
  <c r="R18" i="5"/>
  <c r="S18" i="5"/>
  <c r="T18" i="5"/>
  <c r="U18" i="5"/>
  <c r="V18" i="5"/>
  <c r="P19" i="5"/>
  <c r="Q19" i="5"/>
  <c r="R19" i="5"/>
  <c r="S19" i="5"/>
  <c r="T19" i="5"/>
  <c r="U19" i="5"/>
  <c r="V19" i="5"/>
  <c r="P20" i="5"/>
  <c r="Q20" i="5"/>
  <c r="R20" i="5"/>
  <c r="S20" i="5"/>
  <c r="T20" i="5"/>
  <c r="U20" i="5"/>
  <c r="V20" i="5"/>
  <c r="P21" i="5"/>
  <c r="Q21" i="5"/>
  <c r="R21" i="5"/>
  <c r="S21" i="5"/>
  <c r="T21" i="5"/>
  <c r="U21" i="5"/>
  <c r="V21" i="5"/>
  <c r="P23" i="5"/>
  <c r="Q23" i="5"/>
  <c r="R23" i="5"/>
  <c r="S23" i="5"/>
  <c r="T23" i="5"/>
  <c r="U23" i="5"/>
  <c r="V23" i="5"/>
  <c r="P24" i="5"/>
  <c r="Q24" i="5"/>
  <c r="R24" i="5"/>
  <c r="S24" i="5"/>
  <c r="T24" i="5"/>
  <c r="U24" i="5"/>
  <c r="V24" i="5"/>
  <c r="P25" i="5"/>
  <c r="Q25" i="5"/>
  <c r="R25" i="5"/>
  <c r="S25" i="5"/>
  <c r="T25" i="5"/>
  <c r="U25" i="5"/>
  <c r="V25" i="5"/>
  <c r="P26" i="5"/>
  <c r="Q26" i="5"/>
  <c r="R26" i="5"/>
  <c r="S26" i="5"/>
  <c r="T26" i="5"/>
  <c r="U26" i="5"/>
  <c r="V26" i="5"/>
  <c r="P27" i="5"/>
  <c r="Q27" i="5"/>
  <c r="R27" i="5"/>
  <c r="S27" i="5"/>
  <c r="T27" i="5"/>
  <c r="U27" i="5"/>
  <c r="V27" i="5"/>
  <c r="P28" i="5"/>
  <c r="Q28" i="5"/>
  <c r="R28" i="5"/>
  <c r="S28" i="5"/>
  <c r="T28" i="5"/>
  <c r="U28" i="5"/>
  <c r="V28" i="5"/>
  <c r="P29" i="5"/>
  <c r="P30" i="5"/>
  <c r="Q30" i="5"/>
  <c r="R30" i="5"/>
  <c r="S30" i="5"/>
  <c r="T30" i="5"/>
  <c r="U30" i="5"/>
  <c r="V30" i="5"/>
  <c r="P31" i="5"/>
  <c r="Q31" i="5"/>
  <c r="R31" i="5"/>
  <c r="S31" i="5"/>
  <c r="T31" i="5"/>
  <c r="U31" i="5"/>
  <c r="V31" i="5"/>
  <c r="P32" i="5"/>
  <c r="Q32" i="5"/>
  <c r="R32" i="5"/>
  <c r="S32" i="5"/>
  <c r="T32" i="5"/>
  <c r="U32" i="5"/>
  <c r="V32" i="5"/>
  <c r="P33" i="5"/>
  <c r="Q33" i="5"/>
  <c r="R33" i="5"/>
  <c r="S33" i="5"/>
  <c r="T33" i="5"/>
  <c r="U33" i="5"/>
  <c r="V33" i="5"/>
  <c r="P34" i="5"/>
  <c r="Q34" i="5"/>
  <c r="R34" i="5"/>
  <c r="S34" i="5"/>
  <c r="T34" i="5"/>
  <c r="U34" i="5"/>
  <c r="V34" i="5"/>
  <c r="I26" i="6"/>
  <c r="I30"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33" i="6" l="1"/>
  <c r="I32" i="6"/>
  <c r="H32" i="6"/>
  <c r="I29" i="6"/>
  <c r="I31" i="6"/>
  <c r="H33" i="6"/>
  <c r="H31" i="6"/>
  <c r="H30" i="6"/>
  <c r="H2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CD267A-8338-4CCE-AFE6-C962D0E9EEE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20B4489-236C-4AC3-A57B-FB3363962D22}"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50109734-42EA-4E00-A232-ACA57F425CB2}"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<sst xmlns="http://schemas.openxmlformats.org/spreadsheetml/2006/main" count="3170" uniqueCount="1078">
  <si>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</si>
  <si>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</si>
  <si>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</si>
  <si>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</si>
  <si>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</si>
  <si>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</si>
  <si>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</si>
  <si>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</si>
  <si>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</si>
  <si>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</si>
  <si>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</si>
  <si>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</si>
  <si>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</si>
  <si>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</si>
  <si>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</si>
  <si>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</si>
  <si>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</si>
  <si>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</si>
  <si>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</si>
  <si>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</si>
  <si>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</si>
  <si>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</si>
  <si>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</si>
  <si>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</si>
  <si>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</si>
  <si>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</si>
  <si>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</si>
  <si>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</si>
  <si>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</si>
  <si>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</si>
  <si>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</si>
  <si>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</si>
  <si>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</si>
  <si>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</si>
  <si>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</si>
  <si>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</si>
  <si>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</si>
  <si>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</si>
  <si>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</si>
  <si>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</si>
  <si>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</si>
  <si>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</si>
  <si>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</si>
  <si>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</si>
  <si>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</si>
  <si>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</si>
  <si>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</si>
  <si>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</si>
  <si>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</si>
  <si>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</si>
  <si>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</si>
  <si>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</si>
  <si>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</si>
  <si>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</si>
  <si>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</si>
  <si>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</si>
  <si>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</si>
  <si>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</si>
  <si>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</si>
  <si>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</si>
  <si>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</si>
  <si>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</si>
  <si>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</si>
  <si>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</si>
  <si>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</si>
  <si>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</si>
  <si>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</si>
  <si>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</si>
  <si>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</si>
  <si>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</si>
  <si>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</si>
  <si>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</si>
  <si>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</si>
  <si>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</si>
  <si>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</si>
  <si>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</si>
  <si>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</si>
  <si>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</si>
  <si>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</si>
  <si>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</si>
  <si>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</si>
  <si>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</si>
  <si>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</si>
  <si>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</si>
  <si>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</si>
  <si>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</si>
  <si>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</si>
  <si>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</si>
  <si>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</si>
  <si>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</si>
  <si>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</si>
  <si>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</si>
  <si>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</si>
  <si>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</si>
  <si>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</si>
  <si>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</si>
  <si>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</si>
  <si>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</si>
  <si>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</si>
  <si>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</si>
  <si>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</si>
  <si>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</si>
  <si>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</si>
  <si>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</si>
  <si>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</si>
  <si>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</si>
  <si>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</si>
  <si>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</si>
  <si>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</si>
  <si>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</si>
  <si>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</si>
  <si>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</si>
  <si>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</si>
  <si>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</si>
  <si>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</si>
  <si>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</si>
  <si>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</si>
  <si>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</si>
  <si>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</si>
  <si>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</si>
  <si>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</si>
  <si>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</si>
  <si>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</si>
  <si>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</si>
  <si>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</si>
  <si>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</si>
  <si>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</si>
  <si>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</si>
  <si>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</si>
  <si>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</si>
  <si>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</si>
  <si>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</si>
  <si>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</si>
  <si>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</si>
  <si>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</si>
  <si>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</si>
  <si>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</si>
  <si>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</si>
  <si>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</si>
  <si>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</si>
  <si>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</si>
  <si>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</si>
  <si>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</si>
  <si>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</si>
  <si>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</si>
  <si>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</si>
  <si>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</si>
  <si>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</si>
  <si>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</si>
  <si>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</si>
  <si>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</si>
  <si>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</si>
  <si>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</si>
  <si>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</si>
  <si>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</si>
  <si>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</si>
  <si>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</si>
  <si>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</si>
  <si>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</si>
  <si>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</si>
  <si>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</si>
  <si>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</si>
  <si>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</si>
  <si>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</si>
  <si>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</si>
  <si>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</si>
  <si>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</si>
  <si>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</si>
  <si>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</si>
  <si>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</si>
  <si>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</si>
  <si>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</si>
  <si>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</si>
  <si>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</si>
  <si>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</si>
  <si>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</si>
  <si>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</si>
  <si>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</si>
  <si>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</si>
  <si>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</si>
  <si>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</si>
  <si>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</si>
  <si>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</si>
  <si>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</si>
  <si>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</si>
  <si>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</si>
  <si>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</si>
  <si>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</si>
  <si>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</si>
  <si>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</si>
  <si>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</si>
  <si>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</si>
  <si>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</si>
  <si>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</si>
  <si>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</si>
  <si>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</si>
  <si>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</si>
  <si>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</si>
  <si>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</si>
  <si>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</si>
  <si>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</si>
  <si>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</si>
  <si>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</si>
  <si>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</si>
  <si>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</si>
  <si>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</si>
  <si>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</si>
  <si>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</si>
  <si>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</si>
  <si>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</si>
  <si>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</si>
  <si>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</si>
  <si>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</si>
  <si>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</si>
  <si>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</si>
  <si>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</si>
  <si>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</si>
  <si>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</si>
  <si>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</si>
  <si>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</si>
  <si>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</si>
  <si>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</si>
  <si>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</si>
  <si>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</si>
  <si>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</si>
  <si>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</si>
  <si>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</si>
  <si>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</si>
  <si>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</si>
  <si>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</si>
  <si>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</si>
  <si>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</si>
  <si>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</si>
  <si>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</si>
  <si>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</si>
  <si>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</si>
  <si>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</si>
  <si>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</si>
  <si>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</si>
  <si>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</si>
  <si>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</si>
  <si>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</si>
  <si>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</si>
  <si>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</si>
  <si>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</si>
  <si>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</si>
  <si>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</si>
  <si>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</si>
  <si>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</si>
  <si>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</si>
  <si>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</si>
  <si>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</si>
  <si>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</si>
  <si>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</si>
  <si>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</si>
  <si>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</si>
  <si>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</si>
  <si>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</si>
  <si>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</si>
  <si>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</si>
  <si>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</si>
  <si>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</si>
  <si>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</si>
  <si>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</si>
  <si>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</si>
  <si>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</si>
  <si>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</si>
  <si>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</si>
  <si>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</si>
  <si>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</si>
  <si>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</si>
  <si>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</si>
  <si>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</si>
  <si>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</si>
  <si>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</si>
  <si>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</si>
  <si>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</si>
  <si>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</si>
  <si>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</si>
  <si>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</si>
  <si>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</si>
  <si>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</si>
  <si>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</si>
  <si>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</si>
  <si>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</si>
  <si>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</si>
  <si>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</si>
  <si>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</si>
  <si>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</si>
  <si>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</si>
  <si>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</si>
  <si>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</si>
  <si>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</si>
  <si>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</si>
  <si>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</si>
  <si>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</si>
  <si>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</si>
  <si>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</si>
  <si>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</si>
  <si>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</si>
  <si>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</si>
  <si>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</si>
  <si>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</si>
  <si>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</si>
  <si>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</si>
  <si>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</si>
  <si>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</si>
  <si>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</si>
  <si>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</si>
  <si>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</si>
  <si>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</si>
  <si>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</si>
  <si>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</si>
  <si>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</si>
  <si>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</si>
  <si>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</si>
  <si>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</si>
  <si>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</si>
  <si>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</si>
  <si>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</si>
  <si>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</si>
  <si>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</si>
  <si>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</si>
  <si>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</si>
  <si>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</si>
  <si>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</si>
  <si>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</si>
  <si>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</si>
  <si>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</si>
  <si>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</si>
  <si>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</si>
  <si>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</si>
  <si>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</si>
  <si>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</si>
  <si>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</si>
  <si>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</si>
  <si>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</si>
  <si>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</si>
  <si>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</si>
  <si>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</si>
  <si>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</si>
  <si>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</si>
  <si>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</si>
  <si>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</si>
  <si>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</si>
  <si>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</si>
  <si>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</si>
  <si>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</si>
  <si>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</si>
  <si>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</si>
  <si>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</si>
  <si>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</si>
  <si>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</si>
  <si>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</si>
  <si>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</si>
  <si>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</si>
  <si>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</si>
  <si>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</si>
  <si>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</si>
  <si>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</si>
  <si>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</si>
  <si>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</si>
  <si>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</si>
  <si>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</si>
  <si>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</si>
  <si>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</si>
  <si>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</si>
  <si>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</si>
  <si>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</si>
  <si>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</si>
  <si>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</si>
  <si>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</si>
  <si>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</si>
  <si>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</si>
  <si>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</si>
  <si>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</si>
  <si>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</si>
  <si>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</si>
  <si>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</si>
  <si>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</si>
  <si>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</si>
  <si>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</si>
  <si>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</si>
  <si>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</si>
  <si>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</si>
  <si>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</si>
  <si>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</si>
  <si>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</si>
  <si>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</si>
  <si>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</si>
  <si>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</si>
  <si>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</si>
  <si>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</si>
  <si>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</si>
  <si>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</si>
  <si>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</si>
  <si>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</si>
  <si>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</si>
  <si>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</si>
  <si>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</si>
  <si>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</si>
  <si>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</si>
  <si>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</si>
  <si>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</si>
  <si>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</si>
  <si>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</si>
  <si>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</si>
  <si>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</si>
  <si>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</si>
  <si>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</si>
  <si>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</si>
  <si>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</si>
  <si>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</si>
  <si>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</si>
  <si>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</si>
  <si>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</si>
  <si>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</si>
  <si>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</si>
  <si>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</si>
  <si>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</si>
  <si>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</si>
  <si>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</si>
  <si>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</si>
  <si>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</si>
  <si>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</si>
  <si>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</si>
  <si>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</si>
  <si>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</si>
  <si>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</si>
  <si>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</si>
  <si>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</si>
  <si>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</si>
  <si>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</si>
  <si>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</si>
  <si>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</si>
  <si>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</si>
  <si>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</si>
  <si>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</si>
  <si>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</si>
  <si>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</si>
  <si>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</si>
  <si>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</si>
  <si>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</si>
  <si>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</si>
  <si>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</si>
  <si>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</si>
  <si>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</si>
  <si>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</si>
  <si>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</si>
  <si>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</si>
  <si>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</si>
  <si>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</si>
  <si>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</si>
  <si>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</si>
  <si>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</si>
  <si>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</si>
  <si>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</si>
  <si>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</si>
  <si>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</si>
  <si>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</si>
  <si>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</si>
  <si>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</si>
  <si>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</si>
  <si>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</si>
  <si>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</si>
  <si>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</si>
  <si>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</si>
  <si>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</si>
  <si>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</si>
  <si>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</si>
  <si>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</si>
  <si>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</si>
  <si>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</si>
  <si>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</si>
  <si>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</si>
  <si>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</si>
  <si>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</si>
  <si>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</si>
  <si>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</si>
  <si>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</si>
  <si>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</si>
  <si>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</si>
  <si>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</si>
  <si>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</si>
  <si>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</si>
  <si>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</si>
  <si>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</si>
  <si>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</si>
  <si>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</si>
  <si>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</si>
  <si>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</si>
  <si>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</si>
  <si>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</si>
  <si>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</si>
  <si>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</si>
  <si>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</si>
  <si>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</si>
  <si>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</si>
  <si>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</si>
  <si>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</si>
  <si>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</si>
  <si>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</si>
  <si>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</si>
  <si>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</si>
  <si>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</si>
  <si>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</si>
  <si>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</si>
  <si>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</si>
  <si>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</si>
  <si>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</si>
  <si>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</si>
  <si>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</si>
  <si>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</si>
  <si>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</si>
  <si>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</si>
  <si>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</si>
  <si>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</si>
  <si>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</si>
  <si>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</si>
  <si>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</si>
  <si>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</si>
  <si>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</si>
  <si>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</si>
  <si>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</si>
  <si>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</si>
  <si>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</si>
  <si>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</si>
  <si>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</si>
  <si>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</si>
  <si>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</si>
  <si>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</si>
  <si>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</si>
  <si>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</si>
  <si>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</si>
  <si>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</si>
  <si>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</si>
  <si>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</si>
  <si>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</si>
  <si>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</si>
  <si>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</si>
  <si>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</si>
  <si>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</si>
  <si>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</si>
  <si>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</si>
  <si>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</si>
  <si>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</si>
  <si>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</si>
  <si>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</si>
  <si>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</si>
  <si>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</si>
  <si>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</si>
  <si>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</si>
  <si>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</si>
  <si>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</si>
  <si>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</si>
  <si>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</si>
  <si>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</si>
  <si>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</si>
  <si>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</si>
  <si>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</si>
  <si>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</si>
  <si>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</si>
  <si>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</si>
  <si>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</si>
  <si>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</si>
  <si>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</si>
  <si>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</si>
  <si>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</si>
  <si>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</si>
  <si>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</si>
  <si>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</si>
  <si>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</si>
  <si>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</si>
  <si>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</si>
  <si>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</si>
  <si>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</si>
  <si>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</si>
  <si>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</si>
  <si>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</si>
  <si>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</si>
  <si>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</si>
  <si>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</si>
  <si>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</si>
  <si>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</si>
  <si>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</si>
  <si>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</si>
  <si>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</si>
  <si>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</si>
  <si>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</si>
  <si>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</si>
  <si>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</si>
  <si>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</si>
  <si>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</si>
  <si>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</si>
  <si>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</si>
  <si>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</si>
  <si>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</si>
  <si>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</si>
  <si>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</si>
  <si>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</si>
  <si>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</si>
  <si>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</si>
  <si>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</si>
  <si>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</si>
  <si>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</si>
  <si>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</si>
  <si>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</si>
  <si>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</si>
  <si>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</si>
  <si>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</si>
  <si>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</si>
  <si>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</si>
  <si>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</si>
  <si>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</si>
  <si>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</si>
  <si>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</si>
  <si>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</si>
  <si>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</si>
  <si>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</si>
  <si>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</si>
  <si>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</si>
  <si>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</si>
  <si>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</si>
  <si>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</si>
  <si>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</si>
  <si>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</si>
  <si>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</si>
  <si>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</si>
  <si>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</si>
  <si>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</si>
  <si>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</si>
  <si>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</si>
  <si>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</si>
  <si>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</si>
  <si>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</si>
  <si>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</si>
  <si>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</si>
  <si>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</si>
  <si>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</si>
  <si>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</si>
  <si>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</si>
  <si>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</si>
  <si>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</si>
  <si>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</si>
  <si>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</si>
  <si>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</si>
  <si>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</si>
  <si>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</si>
  <si>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</si>
  <si>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</si>
  <si>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</si>
  <si>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</si>
  <si>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</si>
  <si>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</si>
  <si>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</si>
  <si>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</si>
  <si>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</si>
  <si>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</si>
  <si>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</si>
  <si>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</si>
  <si>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</si>
  <si>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</si>
  <si>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</si>
  <si>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</si>
  <si>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</si>
  <si>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</si>
  <si>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</si>
  <si>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</si>
  <si>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</si>
  <si>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</si>
  <si>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</si>
  <si>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</si>
  <si>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</si>
  <si>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</si>
  <si>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</si>
  <si>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</si>
  <si>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</si>
  <si>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</si>
  <si>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</si>
  <si>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</si>
  <si>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</si>
  <si>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</si>
  <si>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</si>
  <si>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</si>
  <si>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</si>
  <si>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</si>
  <si>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</si>
  <si>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</si>
  <si>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</si>
  <si>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</si>
  <si>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</si>
  <si>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</si>
  <si>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</si>
  <si>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</si>
  <si>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</si>
  <si>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</si>
  <si>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</si>
  <si>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</si>
  <si>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</si>
  <si>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</si>
  <si>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</si>
  <si>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</si>
  <si>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</si>
  <si>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</si>
  <si>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</si>
  <si>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</si>
  <si>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</si>
  <si>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</si>
  <si>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</si>
  <si>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</si>
  <si>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</si>
  <si>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</si>
  <si>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</si>
  <si>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</si>
  <si>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</si>
  <si>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</si>
  <si>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</si>
  <si>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</si>
  <si>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</si>
  <si>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</si>
  <si>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</si>
  <si>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</si>
  <si>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</si>
  <si>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</si>
  <si>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</si>
  <si>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</si>
  <si>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</si>
  <si>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</si>
  <si>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</si>
  <si>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</si>
  <si>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</si>
  <si>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</si>
  <si>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</si>
  <si>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</si>
  <si>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</si>
  <si>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</si>
  <si>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</si>
  <si>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</si>
  <si>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</si>
  <si>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</si>
  <si>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</si>
  <si>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</si>
  <si>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</si>
  <si>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</si>
  <si>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</si>
  <si>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</si>
  <si>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</si>
  <si>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</si>
  <si>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</si>
  <si>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</si>
  <si>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</si>
  <si>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</si>
  <si>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</si>
  <si>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</si>
  <si>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</si>
  <si>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</si>
  <si>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</si>
  <si>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</si>
  <si>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</si>
  <si>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</si>
  <si>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</si>
  <si>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</si>
  <si>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</si>
  <si>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</si>
  <si>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</si>
  <si>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</si>
  <si>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</si>
  <si>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</si>
  <si>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</si>
  <si>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</si>
  <si>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</si>
  <si>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</si>
  <si>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</si>
  <si>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</si>
  <si>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</si>
  <si>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</si>
  <si>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</si>
  <si>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</si>
  <si>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</si>
  <si>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</si>
  <si>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</si>
  <si>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</si>
  <si>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</si>
  <si>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</si>
  <si>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</si>
  <si>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</si>
  <si>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</si>
  <si>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</si>
  <si>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</si>
  <si>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</si>
  <si>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</si>
  <si>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</si>
  <si>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</si>
  <si>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</si>
  <si>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</si>
  <si>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</si>
  <si>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</si>
  <si>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</si>
  <si>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</si>
  <si>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</si>
  <si>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</si>
  <si>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</si>
  <si>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</si>
  <si>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</si>
  <si>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</si>
  <si>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</si>
  <si>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</si>
  <si>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</si>
  <si>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</si>
  <si>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</si>
  <si>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</si>
  <si>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</si>
  <si>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</si>
  <si>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</si>
  <si>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</si>
  <si>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</si>
  <si>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</si>
  <si>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</si>
  <si>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</si>
  <si>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</si>
  <si>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</si>
  <si>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</si>
  <si>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</si>
  <si>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</si>
  <si>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</si>
  <si>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</si>
  <si>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</si>
  <si>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</si>
  <si>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</si>
  <si>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</si>
  <si>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</si>
  <si>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</si>
  <si>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</si>
  <si>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</si>
  <si>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</si>
  <si>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</si>
  <si>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</si>
  <si>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</si>
  <si>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</si>
  <si>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</si>
  <si>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</si>
  <si>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</si>
  <si>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</si>
  <si>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</si>
  <si>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</si>
  <si>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</si>
  <si>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</si>
  <si>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</si>
  <si>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</si>
  <si>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</si>
  <si>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</si>
  <si>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</si>
  <si>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</si>
  <si>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</si>
  <si>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</si>
  <si>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</si>
  <si>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</si>
  <si>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</si>
  <si>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</si>
  <si>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</si>
  <si>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</si>
  <si>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</si>
  <si>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</si>
  <si>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</si>
  <si>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</si>
  <si>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</si>
  <si>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</si>
  <si>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</si>
  <si>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</si>
  <si>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</si>
  <si>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</si>
  <si>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</si>
  <si>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</si>
  <si>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</si>
  <si>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</si>
  <si>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</si>
  <si>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</si>
  <si>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</si>
  <si>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</si>
  <si>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</si>
  <si>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</si>
  <si>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</si>
  <si>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</si>
  <si>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</si>
  <si>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</si>
  <si>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</si>
  <si>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</si>
  <si>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</si>
  <si>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</si>
  <si>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</si>
  <si>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</si>
  <si>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</si>
  <si>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</si>
  <si>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</si>
  <si>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</si>
  <si>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</si>
  <si>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</si>
  <si>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</si>
  <si>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</si>
  <si>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</si>
  <si>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</si>
  <si>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</si>
  <si>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</si>
  <si>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</si>
  <si>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</si>
  <si>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</si>
  <si>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</si>
  <si>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</si>
  <si>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</si>
  <si>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</si>
  <si>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</si>
  <si>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</si>
  <si>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</si>
  <si>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</si>
  <si>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</si>
  <si>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</si>
  <si>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</si>
  <si>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</si>
  <si>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</si>
  <si>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</si>
  <si>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</si>
  <si>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</si>
  <si>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</si>
  <si>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</si>
  <si>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</si>
  <si>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</si>
  <si>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</si>
  <si>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</si>
  <si>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</si>
  <si>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</si>
  <si>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</si>
  <si>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</si>
  <si>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</si>
  <si>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</si>
  <si>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</si>
  <si>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</si>
  <si>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</si>
  <si>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</si>
  <si>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</si>
  <si>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</si>
  <si>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</si>
  <si>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</si>
  <si>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</si>
  <si>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</si>
  <si>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</si>
  <si>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</si>
  <si>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</si>
  <si>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</si>
  <si>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</si>
  <si>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</si>
  <si>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</si>
  <si>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</si>
  <si>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</si>
  <si>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</si>
  <si>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</si>
  <si>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</si>
  <si>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</si>
  <si>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</si>
  <si>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</si>
  <si>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</si>
  <si>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</si>
  <si>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</si>
  <si>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</si>
  <si>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</si>
  <si>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</si>
  <si>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</si>
  <si>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</si>
  <si>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</si>
  <si>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</si>
  <si>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</si>
  <si>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</si>
  <si>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</si>
  <si>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</si>
  <si>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</si>
  <si>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</si>
  <si>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</si>
  <si>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</si>
  <si>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</si>
  <si>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</si>
  <si>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</si>
  <si>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</si>
  <si>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</si>
  <si>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</si>
  <si>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</si>
  <si>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</si>
  <si>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</si>
  <si>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</si>
  <si>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</si>
  <si>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</si>
  <si>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</si>
  <si>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</si>
  <si>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</si>
  <si>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</si>
  <si>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</si>
  <si>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</si>
  <si>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</si>
  <si>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</si>
  <si>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</si>
  <si>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</si>
  <si>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</si>
  <si>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</si>
  <si>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</si>
  <si>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</si>
  <si>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</si>
  <si>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</si>
  <si>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</si>
  <si>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</si>
  <si>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</si>
  <si>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</si>
  <si>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</si>
  <si>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</si>
  <si>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</si>
  <si>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</si>
  <si>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</si>
  <si>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</si>
  <si>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</si>
  <si>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</si>
  <si>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</si>
  <si>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</si>
  <si>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</si>
  <si>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</si>
  <si>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</si>
  <si>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</si>
  <si>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</si>
  <si>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</si>
  <si>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</si>
  <si>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</si>
  <si>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</si>
  <si>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</si>
  <si>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</si>
  <si>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</si>
  <si>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</si>
  <si>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</si>
  <si>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</si>
  <si>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</si>
  <si>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</si>
  <si>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</si>
  <si>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</si>
  <si>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</si>
  <si>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</si>
  <si>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</si>
  <si>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</si>
  <si>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</si>
  <si>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</si>
  <si>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</si>
  <si>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Average Rating</t>
  </si>
  <si>
    <t>5* Calls</t>
  </si>
  <si>
    <t>Grand Total</t>
  </si>
  <si>
    <t>Jan</t>
  </si>
  <si>
    <t>Feb</t>
  </si>
  <si>
    <t>Mar</t>
  </si>
  <si>
    <t>Apr</t>
  </si>
  <si>
    <t>May</t>
  </si>
  <si>
    <t>Jun</t>
  </si>
  <si>
    <t>Jul</t>
  </si>
  <si>
    <t>Aug</t>
  </si>
  <si>
    <t>Sep</t>
  </si>
  <si>
    <t>Oct</t>
  </si>
  <si>
    <t>Nov</t>
  </si>
  <si>
    <t>Dec</t>
  </si>
  <si>
    <t>Row Labels</t>
  </si>
  <si>
    <t>Call Count2</t>
  </si>
  <si>
    <t>Friday</t>
  </si>
  <si>
    <t>Monday</t>
  </si>
  <si>
    <t>Saturday</t>
  </si>
  <si>
    <t>Sunday</t>
  </si>
  <si>
    <t>Thursday</t>
  </si>
  <si>
    <t>Tuesday</t>
  </si>
  <si>
    <t>Wednesday</t>
  </si>
  <si>
    <t>Rep</t>
  </si>
  <si>
    <t>Calls</t>
  </si>
  <si>
    <t>Amount</t>
  </si>
  <si>
    <t>Sel.Calls</t>
  </si>
  <si>
    <t>Sel.Amount</t>
  </si>
  <si>
    <t>selected rep</t>
  </si>
  <si>
    <t>Column Labels</t>
  </si>
  <si>
    <t>TOTAL</t>
  </si>
  <si>
    <t>CALL CENTRE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</si>
</sst>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409]#,##0_ ;\-[$$-409]#,##0\ "/>
  </numFmts>
  <fonts count="7"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0"/>
      <color theme="1"/>
      <name val="Aptos"/>
      <family val="2"/>
      <scheme val="minor"/>
    </font>
    <font>
      <b/>
      <sz val="10"/>
      <color theme="1"/>
      <name val="Aptos"/>
      <family val="2"/>
      <scheme val="minor"/>
    </font>
    <font>
      <b/>
      <sz val="24"/>
      <color theme="0" tint="-0.499984740745262"/>
      <name val="Aptos ExtraBold"/>
      <family val="2"/>
      <scheme val="maj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s>
  <cellStyleXfs count="1">
    <xf numFmtId="0" fontId="0" fillId="0" borderId="0"/>
  </cellStyleXfs>
  <cellXfs count="4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4" fillId="5" borderId="10" xfId="0" applyFont="1" applyFill="1" applyBorder="1"/>
    <xf numFmtId="0" fontId="4" fillId="5" borderId="0" xfId="0" applyFont="1" applyFill="1" applyBorder="1"/>
    <xf numFmtId="0" fontId="4" fillId="5" borderId="14" xfId="0" applyFont="1" applyFill="1" applyBorder="1"/>
    <xf numFmtId="0" fontId="4" fillId="5" borderId="13" xfId="0" applyFont="1" applyFill="1" applyBorder="1" applyAlignment="1">
      <alignment horizontal="left" indent="1"/>
    </xf>
    <xf numFmtId="168" fontId="4" fillId="5" borderId="0" xfId="0" applyNumberFormat="1" applyFont="1" applyFill="1" applyBorder="1"/>
    <xf numFmtId="168" fontId="4" fillId="5" borderId="14" xfId="0" applyNumberFormat="1" applyFont="1" applyFill="1" applyBorder="1"/>
    <xf numFmtId="0" fontId="4" fillId="5" borderId="15" xfId="0" applyFont="1" applyFill="1" applyBorder="1" applyAlignment="1">
      <alignment horizontal="left" indent="1"/>
    </xf>
    <xf numFmtId="168" fontId="4" fillId="5" borderId="16" xfId="0" applyNumberFormat="1" applyFont="1" applyFill="1" applyBorder="1"/>
    <xf numFmtId="168" fontId="4" fillId="5" borderId="17" xfId="0" applyNumberFormat="1" applyFont="1" applyFill="1" applyBorder="1"/>
    <xf numFmtId="0" fontId="5" fillId="5" borderId="11" xfId="0" applyFont="1" applyFill="1" applyBorder="1"/>
    <xf numFmtId="0" fontId="5" fillId="5" borderId="12" xfId="0" applyFont="1" applyFill="1" applyBorder="1"/>
    <xf numFmtId="0" fontId="5" fillId="5" borderId="13" xfId="0" applyFont="1" applyFill="1" applyBorder="1"/>
    <xf numFmtId="0" fontId="6" fillId="3" borderId="0" xfId="0" applyFont="1" applyFill="1" applyAlignment="1">
      <alignment vertical="center"/>
    </xf>
  </cellXfs>
  <cellStyles count="1">
    <cellStyle name="Normal" xfId="0" builtinId="0"/>
  </cellStyles>
  <dxfs count="19">
    <dxf>
      <fill>
        <patternFill>
          <bgColor theme="8" tint="0.59996337778862885"/>
        </patternFill>
      </fill>
      <border>
        <left style="thin">
          <color theme="1" tint="0.14996795556505021"/>
        </left>
        <right style="thin">
          <color theme="1" tint="0.14996795556505021"/>
        </right>
        <vertical/>
        <horizontal/>
      </border>
    </dxf>
    <dxf>
      <fill>
        <patternFill patternType="solid">
          <bgColor theme="8"/>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8"/>
    </tableStyle>
    <tableStyle name="SlicerStyleDark5 2" pivot="0" table="0" count="10" xr9:uid="{F7C1372E-48DE-41C0-8E4A-A79274BA681D}">
      <tableStyleElement type="wholeTable" dxfId="17"/>
      <tableStyleElement type="headerRow" dxfId="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22/10/relationships/richValueRel" Target="richData/richValueRel.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 Target="richData/rdrichvalu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Report.xlsx]Pivots!monthly trend</c:name>
    <c:fmtId val="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Pivots!$C$11</c:f>
              <c:strCache>
                <c:ptCount val="1"/>
                <c:pt idx="0">
                  <c:v>Call Count2</c:v>
                </c:pt>
              </c:strCache>
            </c:strRef>
          </c:tx>
          <c:spPr>
            <a:solidFill>
              <a:schemeClr val="accent2"/>
            </a:solidFill>
            <a:ln>
              <a:noFill/>
            </a:ln>
            <a:effectLst/>
          </c:spPr>
          <c:cat>
            <c:strRef>
              <c:f>Pivots!$A$12:$A$24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Pivots!$C$12:$C$24</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2-BF4D-485E-BBFA-E86D86B6E4CA}"/>
            </c:ext>
          </c:extLst>
        </c:ser>
        <c:dLbls>
          <c:showLegendKey val="0"/>
          <c:showVal val="0"/>
          <c:showCatName val="0"/>
          <c:showSerName val="0"/>
          <c:showPercent val="0"/>
          <c:showBubbleSize val="0"/>
        </c:dLbls>
        <c:axId val="1164691888"/>
        <c:axId val="1164692368"/>
      </c:areaChart>
      <c:lineChart>
        <c:grouping val="standard"/>
        <c:varyColors val="0"/>
        <c:ser>
          <c:idx val="0"/>
          <c:order val="0"/>
          <c:tx>
            <c:strRef>
              <c:f>Pivots!$B$11</c:f>
              <c:strCache>
                <c:ptCount val="1"/>
                <c:pt idx="0">
                  <c:v>Call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Pivots!$B$12:$B$24</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0-BF4D-485E-BBFA-E86D86B6E4CA}"/>
            </c:ext>
          </c:extLst>
        </c:ser>
        <c:dLbls>
          <c:showLegendKey val="0"/>
          <c:showVal val="0"/>
          <c:showCatName val="0"/>
          <c:showSerName val="0"/>
          <c:showPercent val="0"/>
          <c:showBubbleSize val="0"/>
        </c:dLbls>
        <c:marker val="1"/>
        <c:smooth val="0"/>
        <c:axId val="1164691888"/>
        <c:axId val="1164692368"/>
      </c:lineChart>
      <c:catAx>
        <c:axId val="116469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692368"/>
        <c:crosses val="autoZero"/>
        <c:auto val="1"/>
        <c:lblAlgn val="ctr"/>
        <c:lblOffset val="100"/>
        <c:noMultiLvlLbl val="0"/>
      </c:catAx>
      <c:valAx>
        <c:axId val="1164692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69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Report.xlsx]Pivots!weekday trend</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Pivots!$F$16</c:f>
              <c:strCache>
                <c:ptCount val="1"/>
                <c:pt idx="0">
                  <c:v>Total</c:v>
                </c:pt>
              </c:strCache>
            </c:strRef>
          </c:tx>
          <c:spPr>
            <a:solidFill>
              <a:schemeClr val="accent1"/>
            </a:solidFill>
            <a:ln>
              <a:noFill/>
            </a:ln>
            <a:effectLst/>
          </c:spPr>
          <c:invertIfNegative val="0"/>
          <c:cat>
            <c:strRef>
              <c:f>Pivots!$E$17:$E$24</c:f>
              <c:strCache>
                <c:ptCount val="7"/>
                <c:pt idx="0">
                  <c:v>Sunday</c:v>
                </c:pt>
                <c:pt idx="1">
                  <c:v>Monday</c:v>
                </c:pt>
                <c:pt idx="2">
                  <c:v>Tuesday</c:v>
                </c:pt>
                <c:pt idx="3">
                  <c:v>Wednesday</c:v>
                </c:pt>
                <c:pt idx="4">
                  <c:v>Thursday</c:v>
                </c:pt>
                <c:pt idx="5">
                  <c:v>Friday</c:v>
                </c:pt>
                <c:pt idx="6">
                  <c:v>Saturday</c:v>
                </c:pt>
              </c:strCache>
            </c:strRef>
          </c:cat>
          <c:val>
            <c:numRef>
              <c:f>Pivots!$F$17:$F$24</c:f>
              <c:numCache>
                <c:formatCode>#,##0</c:formatCode>
                <c:ptCount val="7"/>
                <c:pt idx="0">
                  <c:v>25</c:v>
                </c:pt>
                <c:pt idx="1">
                  <c:v>23</c:v>
                </c:pt>
                <c:pt idx="2">
                  <c:v>28</c:v>
                </c:pt>
                <c:pt idx="3">
                  <c:v>29</c:v>
                </c:pt>
                <c:pt idx="4">
                  <c:v>18</c:v>
                </c:pt>
                <c:pt idx="5">
                  <c:v>29</c:v>
                </c:pt>
                <c:pt idx="6">
                  <c:v>34</c:v>
                </c:pt>
              </c:numCache>
            </c:numRef>
          </c:val>
          <c:extLst>
            <c:ext xmlns:c16="http://schemas.microsoft.com/office/drawing/2014/chart" uri="{C3380CC4-5D6E-409C-BE32-E72D297353CC}">
              <c16:uniqueId val="{00000000-B5CB-470D-9137-F800C7818F94}"/>
            </c:ext>
          </c:extLst>
        </c:ser>
        <c:dLbls>
          <c:showLegendKey val="0"/>
          <c:showVal val="0"/>
          <c:showCatName val="0"/>
          <c:showSerName val="0"/>
          <c:showPercent val="0"/>
          <c:showBubbleSize val="0"/>
        </c:dLbls>
        <c:gapWidth val="182"/>
        <c:axId val="1249389375"/>
        <c:axId val="1249389855"/>
      </c:barChart>
      <c:catAx>
        <c:axId val="12493893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389855"/>
        <c:crosses val="autoZero"/>
        <c:auto val="1"/>
        <c:lblAlgn val="ctr"/>
        <c:lblOffset val="100"/>
        <c:noMultiLvlLbl val="0"/>
      </c:catAx>
      <c:valAx>
        <c:axId val="1249389855"/>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38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a:gsLst>
                <a:gs pos="0">
                  <a:schemeClr val="accent5"/>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Pivots!$E$29:$E$33</c:f>
              <c:strCache>
                <c:ptCount val="5"/>
                <c:pt idx="0">
                  <c:v>R01</c:v>
                </c:pt>
                <c:pt idx="1">
                  <c:v>R02</c:v>
                </c:pt>
                <c:pt idx="2">
                  <c:v>R03</c:v>
                </c:pt>
                <c:pt idx="3">
                  <c:v>R04</c:v>
                </c:pt>
                <c:pt idx="4">
                  <c:v>R05</c:v>
                </c:pt>
              </c:strCache>
            </c:strRef>
          </c:cat>
          <c:val>
            <c:numRef>
              <c:f>Pivots!$F$29:$F$33</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6231-4176-8A37-8D5D37B7C371}"/>
            </c:ext>
          </c:extLst>
        </c:ser>
        <c:ser>
          <c:idx val="1"/>
          <c:order val="1"/>
          <c:tx>
            <c:strRef>
              <c:f>Pivots!$H$28</c:f>
              <c:strCache>
                <c:ptCount val="1"/>
                <c:pt idx="0">
                  <c:v>Sel.Calls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Pivots!$H$29:$H$33</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1-6231-4176-8A37-8D5D37B7C371}"/>
            </c:ext>
          </c:extLst>
        </c:ser>
        <c:dLbls>
          <c:dLblPos val="outEnd"/>
          <c:showLegendKey val="0"/>
          <c:showVal val="1"/>
          <c:showCatName val="0"/>
          <c:showSerName val="0"/>
          <c:showPercent val="0"/>
          <c:showBubbleSize val="0"/>
        </c:dLbls>
        <c:gapWidth val="25"/>
        <c:overlap val="100"/>
        <c:axId val="1888538015"/>
        <c:axId val="1888538975"/>
      </c:barChart>
      <c:catAx>
        <c:axId val="18885380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538975"/>
        <c:crosses val="autoZero"/>
        <c:auto val="1"/>
        <c:lblAlgn val="ctr"/>
        <c:lblOffset val="100"/>
        <c:noMultiLvlLbl val="0"/>
      </c:catAx>
      <c:valAx>
        <c:axId val="1888538975"/>
        <c:scaling>
          <c:orientation val="minMax"/>
          <c:min val="0"/>
        </c:scaling>
        <c:delete val="1"/>
        <c:axPos val="t"/>
        <c:numFmt formatCode="#,##0" sourceLinked="1"/>
        <c:majorTickMark val="none"/>
        <c:minorTickMark val="none"/>
        <c:tickLblPos val="nextTo"/>
        <c:crossAx val="188853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a:gsLst>
                <a:gs pos="0">
                  <a:schemeClr val="accent5"/>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Pivots!$E$29:$E$33</c:f>
              <c:strCache>
                <c:ptCount val="5"/>
                <c:pt idx="0">
                  <c:v>R01</c:v>
                </c:pt>
                <c:pt idx="1">
                  <c:v>R02</c:v>
                </c:pt>
                <c:pt idx="2">
                  <c:v>R03</c:v>
                </c:pt>
                <c:pt idx="3">
                  <c:v>R04</c:v>
                </c:pt>
                <c:pt idx="4">
                  <c:v>R05</c:v>
                </c:pt>
              </c:strCache>
            </c:strRef>
          </c:cat>
          <c:val>
            <c:numRef>
              <c:f>Pivots!$G$29:$G$33</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6949-4596-9418-5784ECD6CF79}"/>
            </c:ext>
          </c:extLst>
        </c:ser>
        <c:ser>
          <c:idx val="1"/>
          <c:order val="1"/>
          <c:tx>
            <c:strRef>
              <c:f>Pivots!$I$28</c:f>
              <c:strCache>
                <c:ptCount val="1"/>
                <c:pt idx="0">
                  <c:v>Sel.Amount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Pivots!$I$29:$I$33</c:f>
              <c:numCache>
                <c:formatCode>#,##0</c:formatCode>
                <c:ptCount val="5"/>
                <c:pt idx="0">
                  <c:v>#N/A</c:v>
                </c:pt>
                <c:pt idx="1">
                  <c:v>#N/A</c:v>
                </c:pt>
                <c:pt idx="2">
                  <c:v>#N/A</c:v>
                </c:pt>
                <c:pt idx="3">
                  <c:v>16651</c:v>
                </c:pt>
                <c:pt idx="4">
                  <c:v>#N/A</c:v>
                </c:pt>
              </c:numCache>
            </c:numRef>
          </c:val>
          <c:extLst>
            <c:ext xmlns:c16="http://schemas.microsoft.com/office/drawing/2014/chart" uri="{C3380CC4-5D6E-409C-BE32-E72D297353CC}">
              <c16:uniqueId val="{00000001-6949-4596-9418-5784ECD6CF79}"/>
            </c:ext>
          </c:extLst>
        </c:ser>
        <c:dLbls>
          <c:dLblPos val="outEnd"/>
          <c:showLegendKey val="0"/>
          <c:showVal val="1"/>
          <c:showCatName val="0"/>
          <c:showSerName val="0"/>
          <c:showPercent val="0"/>
          <c:showBubbleSize val="0"/>
        </c:dLbls>
        <c:gapWidth val="25"/>
        <c:overlap val="100"/>
        <c:axId val="1888538015"/>
        <c:axId val="1888538975"/>
      </c:barChart>
      <c:catAx>
        <c:axId val="1888538015"/>
        <c:scaling>
          <c:orientation val="maxMin"/>
        </c:scaling>
        <c:delete val="1"/>
        <c:axPos val="l"/>
        <c:numFmt formatCode="General" sourceLinked="1"/>
        <c:majorTickMark val="none"/>
        <c:minorTickMark val="none"/>
        <c:tickLblPos val="nextTo"/>
        <c:crossAx val="1888538975"/>
        <c:crosses val="autoZero"/>
        <c:auto val="1"/>
        <c:lblAlgn val="ctr"/>
        <c:lblOffset val="100"/>
        <c:noMultiLvlLbl val="0"/>
      </c:catAx>
      <c:valAx>
        <c:axId val="1888538975"/>
        <c:scaling>
          <c:orientation val="minMax"/>
        </c:scaling>
        <c:delete val="1"/>
        <c:axPos val="t"/>
        <c:numFmt formatCode="\$#,###.0,&quot;k&quot;" sourceLinked="1"/>
        <c:majorTickMark val="none"/>
        <c:minorTickMark val="none"/>
        <c:tickLblPos val="nextTo"/>
        <c:crossAx val="188853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Pivots!$C$48:$C$49</c:f>
              <c:strCache>
                <c:ptCount val="1"/>
                <c:pt idx="0">
                  <c:v>Female</c:v>
                </c:pt>
              </c:strCache>
            </c:strRef>
          </c:tx>
          <c:spPr>
            <a:solidFill>
              <a:schemeClr val="accent1"/>
            </a:solidFill>
            <a:ln>
              <a:noFill/>
            </a:ln>
            <a:effectLst/>
          </c:spPr>
          <c:invertIfNegative val="0"/>
          <c:cat>
            <c:strRef>
              <c:f>Pivots!$B$50:$B$53</c:f>
              <c:strCache>
                <c:ptCount val="3"/>
                <c:pt idx="0">
                  <c:v>Cincinnati</c:v>
                </c:pt>
                <c:pt idx="1">
                  <c:v>Cleveland</c:v>
                </c:pt>
                <c:pt idx="2">
                  <c:v>Columbus</c:v>
                </c:pt>
              </c:strCache>
            </c:strRef>
          </c:cat>
          <c:val>
            <c:numRef>
              <c:f>Pivots!$C$50:$C$53</c:f>
              <c:numCache>
                <c:formatCode>#,##0</c:formatCode>
                <c:ptCount val="3"/>
                <c:pt idx="0">
                  <c:v>144</c:v>
                </c:pt>
                <c:pt idx="1">
                  <c:v>326</c:v>
                </c:pt>
                <c:pt idx="2">
                  <c:v>129</c:v>
                </c:pt>
              </c:numCache>
            </c:numRef>
          </c:val>
          <c:extLst>
            <c:ext xmlns:c16="http://schemas.microsoft.com/office/drawing/2014/chart" uri="{C3380CC4-5D6E-409C-BE32-E72D297353CC}">
              <c16:uniqueId val="{00000000-1C87-45CE-A61B-A566BBF5DF2A}"/>
            </c:ext>
          </c:extLst>
        </c:ser>
        <c:ser>
          <c:idx val="1"/>
          <c:order val="1"/>
          <c:tx>
            <c:strRef>
              <c:f>Pivots!$D$48:$D$49</c:f>
              <c:strCache>
                <c:ptCount val="1"/>
                <c:pt idx="0">
                  <c:v>Male</c:v>
                </c:pt>
              </c:strCache>
            </c:strRef>
          </c:tx>
          <c:spPr>
            <a:solidFill>
              <a:schemeClr val="accent2"/>
            </a:solidFill>
            <a:ln>
              <a:noFill/>
            </a:ln>
            <a:effectLst/>
          </c:spPr>
          <c:invertIfNegative val="0"/>
          <c:cat>
            <c:strRef>
              <c:f>Pivots!$B$50:$B$53</c:f>
              <c:strCache>
                <c:ptCount val="3"/>
                <c:pt idx="0">
                  <c:v>Cincinnati</c:v>
                </c:pt>
                <c:pt idx="1">
                  <c:v>Cleveland</c:v>
                </c:pt>
                <c:pt idx="2">
                  <c:v>Columbus</c:v>
                </c:pt>
              </c:strCache>
            </c:strRef>
          </c:cat>
          <c:val>
            <c:numRef>
              <c:f>Pivots!$D$50:$D$53</c:f>
              <c:numCache>
                <c:formatCode>#,##0</c:formatCode>
                <c:ptCount val="3"/>
                <c:pt idx="0">
                  <c:v>132</c:v>
                </c:pt>
                <c:pt idx="1">
                  <c:v>63</c:v>
                </c:pt>
                <c:pt idx="2">
                  <c:v>206</c:v>
                </c:pt>
              </c:numCache>
            </c:numRef>
          </c:val>
          <c:extLst>
            <c:ext xmlns:c16="http://schemas.microsoft.com/office/drawing/2014/chart" uri="{C3380CC4-5D6E-409C-BE32-E72D297353CC}">
              <c16:uniqueId val="{00000001-1C87-45CE-A61B-A566BBF5DF2A}"/>
            </c:ext>
          </c:extLst>
        </c:ser>
        <c:dLbls>
          <c:showLegendKey val="0"/>
          <c:showVal val="0"/>
          <c:showCatName val="0"/>
          <c:showSerName val="0"/>
          <c:showPercent val="0"/>
          <c:showBubbleSize val="0"/>
        </c:dLbls>
        <c:gapWidth val="150"/>
        <c:overlap val="100"/>
        <c:axId val="2080544576"/>
        <c:axId val="2080542176"/>
      </c:barChart>
      <c:catAx>
        <c:axId val="208054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542176"/>
        <c:crosses val="autoZero"/>
        <c:auto val="1"/>
        <c:lblAlgn val="ctr"/>
        <c:lblOffset val="100"/>
        <c:noMultiLvlLbl val="0"/>
      </c:catAx>
      <c:valAx>
        <c:axId val="20805421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54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Report.xlsx]Pivots!rep satisfaction</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Pivots!$C$62</c:f>
              <c:strCache>
                <c:ptCount val="1"/>
                <c:pt idx="0">
                  <c:v>Total</c:v>
                </c:pt>
              </c:strCache>
            </c:strRef>
          </c:tx>
          <c:spPr>
            <a:solidFill>
              <a:schemeClr val="accent1"/>
            </a:solidFill>
            <a:ln>
              <a:noFill/>
            </a:ln>
            <a:effectLst/>
          </c:spPr>
          <c:invertIfNegative val="0"/>
          <c:cat>
            <c:strRef>
              <c:f>Pivots!$B$63:$B$68</c:f>
              <c:strCache>
                <c:ptCount val="5"/>
                <c:pt idx="0">
                  <c:v>1</c:v>
                </c:pt>
                <c:pt idx="1">
                  <c:v>2</c:v>
                </c:pt>
                <c:pt idx="2">
                  <c:v>3</c:v>
                </c:pt>
                <c:pt idx="3">
                  <c:v>4</c:v>
                </c:pt>
                <c:pt idx="4">
                  <c:v>5</c:v>
                </c:pt>
              </c:strCache>
            </c:strRef>
          </c:cat>
          <c:val>
            <c:numRef>
              <c:f>Pivots!$C$63:$C$68</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0-610E-47F9-9C44-6144E08DAF12}"/>
            </c:ext>
          </c:extLst>
        </c:ser>
        <c:dLbls>
          <c:showLegendKey val="0"/>
          <c:showVal val="0"/>
          <c:showCatName val="0"/>
          <c:showSerName val="0"/>
          <c:showPercent val="0"/>
          <c:showBubbleSize val="0"/>
        </c:dLbls>
        <c:gapWidth val="219"/>
        <c:overlap val="-27"/>
        <c:axId val="2080519616"/>
        <c:axId val="2080537376"/>
      </c:barChart>
      <c:catAx>
        <c:axId val="208051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537376"/>
        <c:crosses val="autoZero"/>
        <c:auto val="1"/>
        <c:lblAlgn val="ctr"/>
        <c:lblOffset val="100"/>
        <c:noMultiLvlLbl val="0"/>
      </c:catAx>
      <c:valAx>
        <c:axId val="2080537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51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Report.xlsx]Pivots!weekday trend</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469684269348977E-2"/>
          <c:y val="0"/>
          <c:w val="0.93853031573065104"/>
          <c:h val="0.97600357247010794"/>
        </c:manualLayout>
      </c:layout>
      <c:barChart>
        <c:barDir val="bar"/>
        <c:grouping val="clustered"/>
        <c:varyColors val="0"/>
        <c:ser>
          <c:idx val="0"/>
          <c:order val="0"/>
          <c:tx>
            <c:strRef>
              <c:f>Pivots!$F$16</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Pivots!$E$17:$E$24</c:f>
              <c:strCache>
                <c:ptCount val="7"/>
                <c:pt idx="0">
                  <c:v>Sunday</c:v>
                </c:pt>
                <c:pt idx="1">
                  <c:v>Monday</c:v>
                </c:pt>
                <c:pt idx="2">
                  <c:v>Tuesday</c:v>
                </c:pt>
                <c:pt idx="3">
                  <c:v>Wednesday</c:v>
                </c:pt>
                <c:pt idx="4">
                  <c:v>Thursday</c:v>
                </c:pt>
                <c:pt idx="5">
                  <c:v>Friday</c:v>
                </c:pt>
                <c:pt idx="6">
                  <c:v>Saturday</c:v>
                </c:pt>
              </c:strCache>
            </c:strRef>
          </c:cat>
          <c:val>
            <c:numRef>
              <c:f>Pivots!$F$17:$F$24</c:f>
              <c:numCache>
                <c:formatCode>#,##0</c:formatCode>
                <c:ptCount val="7"/>
                <c:pt idx="0">
                  <c:v>25</c:v>
                </c:pt>
                <c:pt idx="1">
                  <c:v>23</c:v>
                </c:pt>
                <c:pt idx="2">
                  <c:v>28</c:v>
                </c:pt>
                <c:pt idx="3">
                  <c:v>29</c:v>
                </c:pt>
                <c:pt idx="4">
                  <c:v>18</c:v>
                </c:pt>
                <c:pt idx="5">
                  <c:v>29</c:v>
                </c:pt>
                <c:pt idx="6">
                  <c:v>34</c:v>
                </c:pt>
              </c:numCache>
            </c:numRef>
          </c:val>
          <c:extLst>
            <c:ext xmlns:c16="http://schemas.microsoft.com/office/drawing/2014/chart" uri="{C3380CC4-5D6E-409C-BE32-E72D297353CC}">
              <c16:uniqueId val="{00000000-BF7D-41A3-83B3-F2079DFAF76E}"/>
            </c:ext>
          </c:extLst>
        </c:ser>
        <c:dLbls>
          <c:showLegendKey val="0"/>
          <c:showVal val="0"/>
          <c:showCatName val="0"/>
          <c:showSerName val="0"/>
          <c:showPercent val="0"/>
          <c:showBubbleSize val="0"/>
        </c:dLbls>
        <c:gapWidth val="25"/>
        <c:axId val="1249389375"/>
        <c:axId val="1249389855"/>
      </c:barChart>
      <c:catAx>
        <c:axId val="12493893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389855"/>
        <c:crosses val="autoZero"/>
        <c:auto val="1"/>
        <c:lblAlgn val="ctr"/>
        <c:lblOffset val="100"/>
        <c:noMultiLvlLbl val="0"/>
      </c:catAx>
      <c:valAx>
        <c:axId val="1249389855"/>
        <c:scaling>
          <c:orientation val="minMax"/>
        </c:scaling>
        <c:delete val="1"/>
        <c:axPos val="b"/>
        <c:numFmt formatCode="#,##0" sourceLinked="1"/>
        <c:majorTickMark val="none"/>
        <c:minorTickMark val="none"/>
        <c:tickLblPos val="nextTo"/>
        <c:crossAx val="124938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Report.xlsx]Pivots!monthly trend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accent5"/>
                </a:solidFill>
              </a:rPr>
              <a:t>Call</a:t>
            </a:r>
            <a:r>
              <a:rPr lang="en-IN" sz="1400" baseline="0"/>
              <a:t> </a:t>
            </a:r>
            <a:r>
              <a:rPr lang="en-IN" sz="1400" b="1" baseline="0">
                <a:solidFill>
                  <a:schemeClr val="accent5"/>
                </a:solidFill>
              </a:rPr>
              <a:t>Trend</a:t>
            </a:r>
          </a:p>
        </c:rich>
      </c:tx>
      <c:layout>
        <c:manualLayout>
          <c:xMode val="edge"/>
          <c:yMode val="edge"/>
          <c:x val="2.9861111111111113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399">
                <a:schemeClr val="tx2">
                  <a:lumMod val="20000"/>
                  <a:lumOff val="80000"/>
                  <a:alpha val="50000"/>
                </a:schemeClr>
              </a:gs>
              <a:gs pos="100000">
                <a:schemeClr val="accent6"/>
              </a:gs>
              <a:gs pos="100000">
                <a:schemeClr val="accent6"/>
              </a:gs>
            </a:gsLst>
            <a:lin ang="16200000" scaled="1"/>
            <a:tileRect/>
          </a:gradFill>
          <a:ln>
            <a:noFill/>
          </a:ln>
          <a:effectLst>
            <a:outerShdw blurRad="50800" dist="50800" dir="5400000" algn="ctr" rotWithShape="0">
              <a:srgbClr val="000000">
                <a:alpha val="5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lumMod val="75000"/>
                  <a:lumOff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Pivots!$C$11</c:f>
              <c:strCache>
                <c:ptCount val="1"/>
                <c:pt idx="0">
                  <c:v>Call Count2</c:v>
                </c:pt>
              </c:strCache>
            </c:strRef>
          </c:tx>
          <c:spPr>
            <a:gradFill flip="none" rotWithShape="1">
              <a:gsLst>
                <a:gs pos="1399">
                  <a:schemeClr val="tx2">
                    <a:lumMod val="20000"/>
                    <a:lumOff val="80000"/>
                    <a:alpha val="50000"/>
                  </a:schemeClr>
                </a:gs>
                <a:gs pos="100000">
                  <a:schemeClr val="accent6"/>
                </a:gs>
                <a:gs pos="100000">
                  <a:schemeClr val="accent6"/>
                </a:gs>
              </a:gsLst>
              <a:lin ang="16200000" scaled="1"/>
              <a:tileRect/>
            </a:gradFill>
            <a:ln>
              <a:noFill/>
            </a:ln>
            <a:effectLst>
              <a:outerShdw blurRad="50800" dist="50800" dir="5400000" algn="ctr" rotWithShape="0">
                <a:srgbClr val="000000">
                  <a:alpha val="50000"/>
                </a:srgbClr>
              </a:outerShdw>
            </a:effectLst>
          </c:spPr>
          <c:cat>
            <c:strRef>
              <c:f>Pivots!$A$12:$A$24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Pivots!$C$12:$C$24</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AE82-41C4-A847-500621F90628}"/>
            </c:ext>
          </c:extLst>
        </c:ser>
        <c:dLbls>
          <c:showLegendKey val="0"/>
          <c:showVal val="0"/>
          <c:showCatName val="0"/>
          <c:showSerName val="0"/>
          <c:showPercent val="0"/>
          <c:showBubbleSize val="0"/>
        </c:dLbls>
        <c:axId val="1164691888"/>
        <c:axId val="1164692368"/>
      </c:areaChart>
      <c:lineChart>
        <c:grouping val="standard"/>
        <c:varyColors val="0"/>
        <c:ser>
          <c:idx val="0"/>
          <c:order val="0"/>
          <c:tx>
            <c:strRef>
              <c:f>Pivots!$B$11</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lumMod val="75000"/>
                    <a:lumOff val="25000"/>
                  </a:schemeClr>
                </a:solidFill>
              </a:ln>
              <a:effectLst/>
            </c:spPr>
          </c:marker>
          <c:cat>
            <c:strRef>
              <c:f>Pivots!$A$12:$A$24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Pivots!$B$12:$B$24</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AE82-41C4-A847-500621F90628}"/>
            </c:ext>
          </c:extLst>
        </c:ser>
        <c:dLbls>
          <c:showLegendKey val="0"/>
          <c:showVal val="0"/>
          <c:showCatName val="0"/>
          <c:showSerName val="0"/>
          <c:showPercent val="0"/>
          <c:showBubbleSize val="0"/>
        </c:dLbls>
        <c:marker val="1"/>
        <c:smooth val="0"/>
        <c:axId val="1164691888"/>
        <c:axId val="1164692368"/>
      </c:lineChart>
      <c:catAx>
        <c:axId val="116469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692368"/>
        <c:crosses val="autoZero"/>
        <c:auto val="1"/>
        <c:lblAlgn val="ctr"/>
        <c:lblOffset val="100"/>
        <c:noMultiLvlLbl val="0"/>
      </c:catAx>
      <c:valAx>
        <c:axId val="1164692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69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5"/>
                </a:solidFill>
                <a:latin typeface="+mn-lt"/>
                <a:ea typeface="+mn-ea"/>
                <a:cs typeface="+mn-cs"/>
              </a:defRPr>
            </a:pPr>
            <a:r>
              <a:rPr lang="en-IN" sz="1400" b="1">
                <a:solidFill>
                  <a:schemeClr val="accent5"/>
                </a:solidFill>
              </a:rPr>
              <a:t>Calls</a:t>
            </a:r>
          </a:p>
        </c:rich>
      </c:tx>
      <c:layout>
        <c:manualLayout>
          <c:xMode val="edge"/>
          <c:yMode val="edge"/>
          <c:x val="6.5180227471566043E-2"/>
          <c:y val="3.205128205128204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5"/>
              </a:solidFill>
              <a:latin typeface="+mn-lt"/>
              <a:ea typeface="+mn-ea"/>
              <a:cs typeface="+mn-cs"/>
            </a:defRPr>
          </a:pPr>
          <a:endParaRPr lang="en-US"/>
        </a:p>
      </c:txPr>
    </c:title>
    <c:autoTitleDeleted val="0"/>
    <c:plotArea>
      <c:layout/>
      <c:barChart>
        <c:barDir val="bar"/>
        <c:grouping val="clustered"/>
        <c:varyColors val="0"/>
        <c:ser>
          <c:idx val="0"/>
          <c:order val="0"/>
          <c:spPr>
            <a:gradFill>
              <a:gsLst>
                <a:gs pos="0">
                  <a:schemeClr val="accent5"/>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Pivots!$E$29:$E$33</c:f>
              <c:strCache>
                <c:ptCount val="5"/>
                <c:pt idx="0">
                  <c:v>R01</c:v>
                </c:pt>
                <c:pt idx="1">
                  <c:v>R02</c:v>
                </c:pt>
                <c:pt idx="2">
                  <c:v>R03</c:v>
                </c:pt>
                <c:pt idx="3">
                  <c:v>R04</c:v>
                </c:pt>
                <c:pt idx="4">
                  <c:v>R05</c:v>
                </c:pt>
              </c:strCache>
            </c:strRef>
          </c:cat>
          <c:val>
            <c:numRef>
              <c:f>Pivots!$F$29:$F$33</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1403-4BFF-947B-C84B97975101}"/>
            </c:ext>
          </c:extLst>
        </c:ser>
        <c:ser>
          <c:idx val="1"/>
          <c:order val="1"/>
          <c:tx>
            <c:strRef>
              <c:f>Pivots!$H$28</c:f>
              <c:strCache>
                <c:ptCount val="1"/>
                <c:pt idx="0">
                  <c:v>Sel.Calls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Pivots!$H$29:$H$33</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1-1403-4BFF-947B-C84B97975101}"/>
            </c:ext>
          </c:extLst>
        </c:ser>
        <c:dLbls>
          <c:dLblPos val="outEnd"/>
          <c:showLegendKey val="0"/>
          <c:showVal val="1"/>
          <c:showCatName val="0"/>
          <c:showSerName val="0"/>
          <c:showPercent val="0"/>
          <c:showBubbleSize val="0"/>
        </c:dLbls>
        <c:gapWidth val="25"/>
        <c:overlap val="100"/>
        <c:axId val="1888538015"/>
        <c:axId val="1888538975"/>
      </c:barChart>
      <c:catAx>
        <c:axId val="18885380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538975"/>
        <c:crosses val="autoZero"/>
        <c:auto val="1"/>
        <c:lblAlgn val="ctr"/>
        <c:lblOffset val="100"/>
        <c:noMultiLvlLbl val="0"/>
      </c:catAx>
      <c:valAx>
        <c:axId val="1888538975"/>
        <c:scaling>
          <c:orientation val="minMax"/>
          <c:min val="0"/>
        </c:scaling>
        <c:delete val="1"/>
        <c:axPos val="t"/>
        <c:numFmt formatCode="#,##0" sourceLinked="1"/>
        <c:majorTickMark val="none"/>
        <c:minorTickMark val="none"/>
        <c:tickLblPos val="nextTo"/>
        <c:crossAx val="188853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r>
              <a:rPr lang="en-IN" b="1">
                <a:solidFill>
                  <a:schemeClr val="accent6"/>
                </a:solidFill>
              </a:rPr>
              <a:t>Amount</a:t>
            </a:r>
          </a:p>
        </c:rich>
      </c:tx>
      <c:layout>
        <c:manualLayout>
          <c:xMode val="edge"/>
          <c:yMode val="edge"/>
          <c:x val="8.6111111111111124E-2"/>
          <c:y val="3.20512820512820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endParaRPr lang="en-US"/>
        </a:p>
      </c:txPr>
    </c:title>
    <c:autoTitleDeleted val="0"/>
    <c:plotArea>
      <c:layout/>
      <c:barChart>
        <c:barDir val="bar"/>
        <c:grouping val="clustered"/>
        <c:varyColors val="0"/>
        <c:ser>
          <c:idx val="0"/>
          <c:order val="0"/>
          <c:spPr>
            <a:gradFill>
              <a:gsLst>
                <a:gs pos="0">
                  <a:schemeClr val="accent5"/>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Pivots!$E$29:$E$33</c:f>
              <c:strCache>
                <c:ptCount val="5"/>
                <c:pt idx="0">
                  <c:v>R01</c:v>
                </c:pt>
                <c:pt idx="1">
                  <c:v>R02</c:v>
                </c:pt>
                <c:pt idx="2">
                  <c:v>R03</c:v>
                </c:pt>
                <c:pt idx="3">
                  <c:v>R04</c:v>
                </c:pt>
                <c:pt idx="4">
                  <c:v>R05</c:v>
                </c:pt>
              </c:strCache>
            </c:strRef>
          </c:cat>
          <c:val>
            <c:numRef>
              <c:f>Pivots!$G$29:$G$33</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BC70-4CFB-9D26-D8873F1E3837}"/>
            </c:ext>
          </c:extLst>
        </c:ser>
        <c:ser>
          <c:idx val="1"/>
          <c:order val="1"/>
          <c:tx>
            <c:strRef>
              <c:f>Pivots!$I$28</c:f>
              <c:strCache>
                <c:ptCount val="1"/>
                <c:pt idx="0">
                  <c:v>Sel.Amount</c:v>
                </c:pt>
              </c:strCache>
            </c:strRef>
          </c:tx>
          <c:spPr>
            <a:solidFill>
              <a:schemeClr val="accent2"/>
            </a:solidFill>
            <a:ln>
              <a:noFill/>
            </a:ln>
            <a:effectLst/>
          </c:spPr>
          <c:invertIfNegative val="0"/>
          <c:dLbls>
            <c:delete val="1"/>
          </c:dLbls>
          <c:val>
            <c:numRef>
              <c:f>Pivots!$I$29:$I$33</c:f>
              <c:numCache>
                <c:formatCode>#,##0</c:formatCode>
                <c:ptCount val="5"/>
                <c:pt idx="0">
                  <c:v>#N/A</c:v>
                </c:pt>
                <c:pt idx="1">
                  <c:v>#N/A</c:v>
                </c:pt>
                <c:pt idx="2">
                  <c:v>#N/A</c:v>
                </c:pt>
                <c:pt idx="3">
                  <c:v>16651</c:v>
                </c:pt>
                <c:pt idx="4">
                  <c:v>#N/A</c:v>
                </c:pt>
              </c:numCache>
            </c:numRef>
          </c:val>
          <c:extLst>
            <c:ext xmlns:c16="http://schemas.microsoft.com/office/drawing/2014/chart" uri="{C3380CC4-5D6E-409C-BE32-E72D297353CC}">
              <c16:uniqueId val="{00000001-BC70-4CFB-9D26-D8873F1E3837}"/>
            </c:ext>
          </c:extLst>
        </c:ser>
        <c:dLbls>
          <c:dLblPos val="outEnd"/>
          <c:showLegendKey val="0"/>
          <c:showVal val="1"/>
          <c:showCatName val="0"/>
          <c:showSerName val="0"/>
          <c:showPercent val="0"/>
          <c:showBubbleSize val="0"/>
        </c:dLbls>
        <c:gapWidth val="25"/>
        <c:overlap val="100"/>
        <c:axId val="1888538015"/>
        <c:axId val="1888538975"/>
      </c:barChart>
      <c:catAx>
        <c:axId val="1888538015"/>
        <c:scaling>
          <c:orientation val="maxMin"/>
        </c:scaling>
        <c:delete val="1"/>
        <c:axPos val="l"/>
        <c:numFmt formatCode="General" sourceLinked="1"/>
        <c:majorTickMark val="none"/>
        <c:minorTickMark val="none"/>
        <c:tickLblPos val="nextTo"/>
        <c:crossAx val="1888538975"/>
        <c:crosses val="autoZero"/>
        <c:auto val="1"/>
        <c:lblAlgn val="ctr"/>
        <c:lblOffset val="100"/>
        <c:noMultiLvlLbl val="0"/>
      </c:catAx>
      <c:valAx>
        <c:axId val="1888538975"/>
        <c:scaling>
          <c:orientation val="minMax"/>
        </c:scaling>
        <c:delete val="1"/>
        <c:axPos val="t"/>
        <c:numFmt formatCode="\$#,###.0,&quot;k&quot;" sourceLinked="1"/>
        <c:majorTickMark val="none"/>
        <c:minorTickMark val="none"/>
        <c:tickLblPos val="nextTo"/>
        <c:crossAx val="188853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solidFill>
              </a:rPr>
              <a:t>Female</a:t>
            </a:r>
            <a:r>
              <a:rPr lang="en-IN" b="1" baseline="0"/>
              <a:t> vs </a:t>
            </a:r>
            <a:r>
              <a:rPr lang="en-IN" b="1" baseline="0">
                <a:solidFill>
                  <a:schemeClr val="accent4"/>
                </a:solidFill>
              </a:rPr>
              <a:t>Male</a:t>
            </a:r>
            <a:r>
              <a:rPr lang="en-IN" b="1" baseline="0"/>
              <a:t> Callers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accent4">
                <a:lumMod val="20000"/>
                <a:lumOff val="8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accent4">
                <a:lumMod val="20000"/>
                <a:lumOff val="8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Pivots!$C$48:$C$49</c:f>
              <c:strCache>
                <c:ptCount val="1"/>
                <c:pt idx="0">
                  <c:v>Female</c:v>
                </c:pt>
              </c:strCache>
            </c:strRef>
          </c:tx>
          <c:spPr>
            <a:solidFill>
              <a:schemeClr val="accent5"/>
            </a:solidFill>
            <a:ln>
              <a:noFill/>
            </a:ln>
            <a:effectLst/>
          </c:spPr>
          <c:invertIfNegative val="0"/>
          <c:dLbls>
            <c:spPr>
              <a:solidFill>
                <a:schemeClr val="accent4">
                  <a:lumMod val="20000"/>
                  <a:lumOff val="8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Pivots!$B$50:$B$53</c:f>
              <c:strCache>
                <c:ptCount val="3"/>
                <c:pt idx="0">
                  <c:v>Cincinnati</c:v>
                </c:pt>
                <c:pt idx="1">
                  <c:v>Cleveland</c:v>
                </c:pt>
                <c:pt idx="2">
                  <c:v>Columbus</c:v>
                </c:pt>
              </c:strCache>
            </c:strRef>
          </c:cat>
          <c:val>
            <c:numRef>
              <c:f>Pivots!$C$50:$C$53</c:f>
              <c:numCache>
                <c:formatCode>#,##0</c:formatCode>
                <c:ptCount val="3"/>
                <c:pt idx="0">
                  <c:v>144</c:v>
                </c:pt>
                <c:pt idx="1">
                  <c:v>326</c:v>
                </c:pt>
                <c:pt idx="2">
                  <c:v>129</c:v>
                </c:pt>
              </c:numCache>
            </c:numRef>
          </c:val>
          <c:extLst>
            <c:ext xmlns:c16="http://schemas.microsoft.com/office/drawing/2014/chart" uri="{C3380CC4-5D6E-409C-BE32-E72D297353CC}">
              <c16:uniqueId val="{00000000-B464-4AC1-856E-487A7C543656}"/>
            </c:ext>
          </c:extLst>
        </c:ser>
        <c:ser>
          <c:idx val="1"/>
          <c:order val="1"/>
          <c:tx>
            <c:strRef>
              <c:f>Pivots!$D$48:$D$49</c:f>
              <c:strCache>
                <c:ptCount val="1"/>
                <c:pt idx="0">
                  <c:v>Male</c:v>
                </c:pt>
              </c:strCache>
            </c:strRef>
          </c:tx>
          <c:spPr>
            <a:solidFill>
              <a:schemeClr val="accent4"/>
            </a:solidFill>
            <a:ln>
              <a:noFill/>
            </a:ln>
            <a:effectLst/>
          </c:spPr>
          <c:invertIfNegative val="0"/>
          <c:dLbls>
            <c:spPr>
              <a:solidFill>
                <a:schemeClr val="accent4">
                  <a:lumMod val="20000"/>
                  <a:lumOff val="8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Pivots!$B$50:$B$53</c:f>
              <c:strCache>
                <c:ptCount val="3"/>
                <c:pt idx="0">
                  <c:v>Cincinnati</c:v>
                </c:pt>
                <c:pt idx="1">
                  <c:v>Cleveland</c:v>
                </c:pt>
                <c:pt idx="2">
                  <c:v>Columbus</c:v>
                </c:pt>
              </c:strCache>
            </c:strRef>
          </c:cat>
          <c:val>
            <c:numRef>
              <c:f>Pivots!$D$50:$D$53</c:f>
              <c:numCache>
                <c:formatCode>#,##0</c:formatCode>
                <c:ptCount val="3"/>
                <c:pt idx="0">
                  <c:v>132</c:v>
                </c:pt>
                <c:pt idx="1">
                  <c:v>63</c:v>
                </c:pt>
                <c:pt idx="2">
                  <c:v>206</c:v>
                </c:pt>
              </c:numCache>
            </c:numRef>
          </c:val>
          <c:extLst>
            <c:ext xmlns:c16="http://schemas.microsoft.com/office/drawing/2014/chart" uri="{C3380CC4-5D6E-409C-BE32-E72D297353CC}">
              <c16:uniqueId val="{00000001-B464-4AC1-856E-487A7C543656}"/>
            </c:ext>
          </c:extLst>
        </c:ser>
        <c:dLbls>
          <c:showLegendKey val="0"/>
          <c:showVal val="0"/>
          <c:showCatName val="0"/>
          <c:showSerName val="0"/>
          <c:showPercent val="0"/>
          <c:showBubbleSize val="0"/>
        </c:dLbls>
        <c:gapWidth val="25"/>
        <c:overlap val="100"/>
        <c:axId val="2080544576"/>
        <c:axId val="2080542176"/>
      </c:barChart>
      <c:catAx>
        <c:axId val="208054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542176"/>
        <c:crosses val="autoZero"/>
        <c:auto val="1"/>
        <c:lblAlgn val="ctr"/>
        <c:lblOffset val="100"/>
        <c:noMultiLvlLbl val="0"/>
      </c:catAx>
      <c:valAx>
        <c:axId val="2080542176"/>
        <c:scaling>
          <c:orientation val="minMax"/>
        </c:scaling>
        <c:delete val="1"/>
        <c:axPos val="l"/>
        <c:numFmt formatCode="0%" sourceLinked="1"/>
        <c:majorTickMark val="none"/>
        <c:minorTickMark val="none"/>
        <c:tickLblPos val="nextTo"/>
        <c:crossAx val="208054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Report.xlsx]Pivots!rep satisfaction</c:name>
    <c:fmtId val="8"/>
  </c:pivotSource>
  <c:chart>
    <c:title>
      <c:tx>
        <c:rich>
          <a:bodyPr rot="0" spcFirstLastPara="1" vertOverflow="ellipsis" vert="horz" wrap="square" anchor="ctr" anchorCtr="1"/>
          <a:lstStyle/>
          <a:p>
            <a:pPr>
              <a:defRPr sz="1400" b="1" i="0" u="none" strike="noStrike" kern="1200" spc="0" baseline="0">
                <a:solidFill>
                  <a:schemeClr val="bg2">
                    <a:lumMod val="50000"/>
                  </a:schemeClr>
                </a:solidFill>
                <a:latin typeface="+mn-lt"/>
                <a:ea typeface="+mn-ea"/>
                <a:cs typeface="+mn-cs"/>
              </a:defRPr>
            </a:pPr>
            <a:r>
              <a:rPr lang="en-IN" b="1">
                <a:solidFill>
                  <a:schemeClr val="bg2">
                    <a:lumMod val="50000"/>
                  </a:schemeClr>
                </a:solidFill>
              </a:rPr>
              <a:t>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Pivots!$C$62</c:f>
              <c:strCache>
                <c:ptCount val="1"/>
                <c:pt idx="0">
                  <c:v>Total</c:v>
                </c:pt>
              </c:strCache>
            </c:strRef>
          </c:tx>
          <c:spPr>
            <a:solidFill>
              <a:schemeClr val="bg2">
                <a:lumMod val="50000"/>
              </a:schemeClr>
            </a:solidFill>
            <a:ln>
              <a:noFill/>
            </a:ln>
            <a:effectLst/>
          </c:spPr>
          <c:invertIfNegative val="0"/>
          <c:cat>
            <c:strRef>
              <c:f>Pivots!$B$63:$B$68</c:f>
              <c:strCache>
                <c:ptCount val="5"/>
                <c:pt idx="0">
                  <c:v>1</c:v>
                </c:pt>
                <c:pt idx="1">
                  <c:v>2</c:v>
                </c:pt>
                <c:pt idx="2">
                  <c:v>3</c:v>
                </c:pt>
                <c:pt idx="3">
                  <c:v>4</c:v>
                </c:pt>
                <c:pt idx="4">
                  <c:v>5</c:v>
                </c:pt>
              </c:strCache>
            </c:strRef>
          </c:cat>
          <c:val>
            <c:numRef>
              <c:f>Pivots!$C$63:$C$68</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0-29E0-43D5-9887-ACE719CAF623}"/>
            </c:ext>
          </c:extLst>
        </c:ser>
        <c:dLbls>
          <c:showLegendKey val="0"/>
          <c:showVal val="0"/>
          <c:showCatName val="0"/>
          <c:showSerName val="0"/>
          <c:showPercent val="0"/>
          <c:showBubbleSize val="0"/>
        </c:dLbls>
        <c:gapWidth val="10"/>
        <c:overlap val="-27"/>
        <c:axId val="2080519616"/>
        <c:axId val="2080537376"/>
      </c:barChart>
      <c:catAx>
        <c:axId val="208051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537376"/>
        <c:crosses val="autoZero"/>
        <c:auto val="1"/>
        <c:lblAlgn val="ctr"/>
        <c:lblOffset val="100"/>
        <c:noMultiLvlLbl val="0"/>
      </c:catAx>
      <c:valAx>
        <c:axId val="2080537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51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8</xdr:col>
      <xdr:colOff>7620</xdr:colOff>
      <xdr:row>0</xdr:row>
      <xdr:rowOff>53341</xdr:rowOff>
    </xdr:from>
    <xdr:to>
      <xdr:col>12</xdr:col>
      <xdr:colOff>91440</xdr:colOff>
      <xdr:row>10</xdr:row>
      <xdr:rowOff>1</xdr:rowOff>
    </xdr:to>
    <mc:AlternateContent xmlns:mc="http://schemas.openxmlformats.org/markup-compatibility/2006" xmlns:a14="http://schemas.microsoft.com/office/drawing/2010/main">
      <mc:Choice Requires="a14">
        <xdr:graphicFrame macro="">
          <xdr:nvGraphicFramePr>
            <xdr:cNvPr id="4" name="Representative">
              <a:extLst>
                <a:ext uri="{FF2B5EF4-FFF2-40B4-BE49-F238E27FC236}">
                  <a16:creationId xmlns:a16="http://schemas.microsoft.com/office/drawing/2014/main" id="{821F9168-AF00-E0F3-4D05-49BB49BF24B5}"/>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4853940" y="53341"/>
              <a:ext cx="1828800" cy="177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963930</xdr:colOff>
      <xdr:row>1</xdr:row>
      <xdr:rowOff>144780</xdr:rowOff>
    </xdr:from>
    <xdr:to>
      <xdr:col>18</xdr:col>
      <xdr:colOff>902970</xdr:colOff>
      <xdr:row>16</xdr:row>
      <xdr:rowOff>144780</xdr:rowOff>
    </xdr:to>
    <xdr:graphicFrame macro="">
      <xdr:nvGraphicFramePr>
        <xdr:cNvPr id="5" name="Chart 4">
          <a:extLst>
            <a:ext uri="{FF2B5EF4-FFF2-40B4-BE49-F238E27FC236}">
              <a16:creationId xmlns:a16="http://schemas.microsoft.com/office/drawing/2014/main" id="{72E3BE8D-CC20-7945-CFC0-D50932E95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411480</xdr:colOff>
      <xdr:row>10</xdr:row>
      <xdr:rowOff>179070</xdr:rowOff>
    </xdr:from>
    <xdr:to>
      <xdr:col>14</xdr:col>
      <xdr:colOff>468630</xdr:colOff>
      <xdr:row>24</xdr:row>
      <xdr:rowOff>114300</xdr:rowOff>
    </xdr:to>
    <xdr:graphicFrame macro="">
      <xdr:nvGraphicFramePr>
        <xdr:cNvPr id="2" name="Chart 1">
          <a:extLst>
            <a:ext uri="{FF2B5EF4-FFF2-40B4-BE49-F238E27FC236}">
              <a16:creationId xmlns:a16="http://schemas.microsoft.com/office/drawing/2014/main" id="{770D9035-F40A-E666-D2CC-6E0269C01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152400</xdr:colOff>
      <xdr:row>34</xdr:row>
      <xdr:rowOff>152400</xdr:rowOff>
    </xdr:from>
    <xdr:to>
      <xdr:col>6</xdr:col>
      <xdr:colOff>784860</xdr:colOff>
      <xdr:row>44</xdr:row>
      <xdr:rowOff>68580</xdr:rowOff>
    </xdr:to>
    <xdr:graphicFrame macro="">
      <xdr:nvGraphicFramePr>
        <xdr:cNvPr id="6" name="Chart 5">
          <a:extLst>
            <a:ext uri="{FF2B5EF4-FFF2-40B4-BE49-F238E27FC236}">
              <a16:creationId xmlns:a16="http://schemas.microsoft.com/office/drawing/2014/main" id="{43AD22E4-D4A8-5633-FB98-50D24F79B5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217170</xdr:colOff>
      <xdr:row>35</xdr:row>
      <xdr:rowOff>0</xdr:rowOff>
    </xdr:from>
    <xdr:to>
      <xdr:col>12</xdr:col>
      <xdr:colOff>0</xdr:colOff>
      <xdr:row>45</xdr:row>
      <xdr:rowOff>53340</xdr:rowOff>
    </xdr:to>
    <xdr:graphicFrame macro="">
      <xdr:nvGraphicFramePr>
        <xdr:cNvPr id="7" name="Chart 6">
          <a:extLst>
            <a:ext uri="{FF2B5EF4-FFF2-40B4-BE49-F238E27FC236}">
              <a16:creationId xmlns:a16="http://schemas.microsoft.com/office/drawing/2014/main" id="{1A547B4A-823F-45AA-8438-A6CFB5787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487680</xdr:colOff>
      <xdr:row>46</xdr:row>
      <xdr:rowOff>45720</xdr:rowOff>
    </xdr:from>
    <xdr:to>
      <xdr:col>12</xdr:col>
      <xdr:colOff>110490</xdr:colOff>
      <xdr:row>57</xdr:row>
      <xdr:rowOff>163830</xdr:rowOff>
    </xdr:to>
    <xdr:graphicFrame macro="">
      <xdr:nvGraphicFramePr>
        <xdr:cNvPr id="3" name="Chart 2">
          <a:extLst>
            <a:ext uri="{FF2B5EF4-FFF2-40B4-BE49-F238E27FC236}">
              <a16:creationId xmlns:a16="http://schemas.microsoft.com/office/drawing/2014/main" id="{7CB555EF-E596-FAB4-7747-20CA4A00E0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449580</xdr:colOff>
      <xdr:row>59</xdr:row>
      <xdr:rowOff>99060</xdr:rowOff>
    </xdr:from>
    <xdr:to>
      <xdr:col>7</xdr:col>
      <xdr:colOff>453390</xdr:colOff>
      <xdr:row>69</xdr:row>
      <xdr:rowOff>102870</xdr:rowOff>
    </xdr:to>
    <xdr:graphicFrame macro="">
      <xdr:nvGraphicFramePr>
        <xdr:cNvPr id="8" name="Chart 7">
          <a:extLst>
            <a:ext uri="{FF2B5EF4-FFF2-40B4-BE49-F238E27FC236}">
              <a16:creationId xmlns:a16="http://schemas.microsoft.com/office/drawing/2014/main" id="{6C61BCE9-A4AD-CADC-F889-7449A163F9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619125</xdr:colOff>
      <xdr:row>3</xdr:row>
      <xdr:rowOff>0</xdr:rowOff>
    </xdr:from>
    <xdr:to>
      <xdr:col>16</xdr:col>
      <xdr:colOff>0</xdr:colOff>
      <xdr:row>14</xdr:row>
      <xdr:rowOff>0</xdr:rowOff>
    </xdr:to>
    <xdr:graphicFrame macro="">
      <xdr:nvGraphicFramePr>
        <xdr:cNvPr id="2" name="Chart 1">
          <a:extLst>
            <a:ext uri="{FF2B5EF4-FFF2-40B4-BE49-F238E27FC236}">
              <a16:creationId xmlns:a16="http://schemas.microsoft.com/office/drawing/2014/main" id="{1C8EB2D9-EEC6-4AC1-900A-EE3919F82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190500</xdr:colOff>
      <xdr:row>3</xdr:row>
      <xdr:rowOff>7620</xdr:rowOff>
    </xdr:from>
    <xdr:to>
      <xdr:col>3</xdr:col>
      <xdr:colOff>563880</xdr:colOff>
      <xdr:row>7</xdr:row>
      <xdr:rowOff>15240</xdr:rowOff>
    </xdr:to>
    <xdr:sp macro="" textlink="Pivots!A4">
      <xdr:nvSpPr>
        <xdr:cNvPr id="3" name="Rectangle 2">
          <a:extLst>
            <a:ext uri="{FF2B5EF4-FFF2-40B4-BE49-F238E27FC236}">
              <a16:creationId xmlns:a16="http://schemas.microsoft.com/office/drawing/2014/main" id="{06968B4B-7ED2-108E-975C-FE725CADFDAC}"/>
            </a:ext>
          </a:extLst>
        </xdr:cNvPr>
        <xdr:cNvSpPr/>
      </xdr:nvSpPr>
      <xdr:spPr>
        <a:xfrm>
          <a:off x="472440" y="556260"/>
          <a:ext cx="1264920" cy="739140"/>
        </a:xfrm>
        <a:prstGeom prst="rect">
          <a:avLst/>
        </a:prstGeom>
        <a:ln>
          <a:noFill/>
        </a:ln>
        <a:effectLst>
          <a:outerShdw blurRad="254000" dist="127000" dir="2700000" algn="tl"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fld id="{512DCA99-73B1-46EA-9465-DD01DD388B80}" type="TxLink">
            <a:rPr lang="en-US" sz="2000" b="0" i="0" u="none" strike="noStrike">
              <a:solidFill>
                <a:schemeClr val="bg1"/>
              </a:solidFill>
              <a:latin typeface="+mj-lt"/>
            </a:rPr>
            <a:pPr algn="ctr"/>
            <a:t>186</a:t>
          </a:fld>
          <a:endParaRPr lang="en-IN" sz="2000">
            <a:solidFill>
              <a:schemeClr val="bg1"/>
            </a:solidFill>
            <a:latin typeface="+mj-lt"/>
          </a:endParaRPr>
        </a:p>
      </xdr:txBody>
    </xdr:sp>
    <xdr:clientData/>
  </xdr:twoCellAnchor>
  <xdr:twoCellAnchor>
    <xdr:from>
      <xdr:col>2</xdr:col>
      <xdr:colOff>144780</xdr:colOff>
      <xdr:row>3</xdr:row>
      <xdr:rowOff>60960</xdr:rowOff>
    </xdr:from>
    <xdr:to>
      <xdr:col>3</xdr:col>
      <xdr:colOff>381000</xdr:colOff>
      <xdr:row>4</xdr:row>
      <xdr:rowOff>0</xdr:rowOff>
    </xdr:to>
    <xdr:sp macro="" textlink="">
      <xdr:nvSpPr>
        <xdr:cNvPr id="4" name="TextBox 3">
          <a:extLst>
            <a:ext uri="{FF2B5EF4-FFF2-40B4-BE49-F238E27FC236}">
              <a16:creationId xmlns:a16="http://schemas.microsoft.com/office/drawing/2014/main" id="{E7FB0FAF-60DD-FD0F-9B3F-D09983B598AA}"/>
            </a:ext>
          </a:extLst>
        </xdr:cNvPr>
        <xdr:cNvSpPr txBox="1"/>
      </xdr:nvSpPr>
      <xdr:spPr>
        <a:xfrm>
          <a:off x="647700" y="609600"/>
          <a:ext cx="906780" cy="121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Calls</a:t>
          </a:r>
        </a:p>
      </xdr:txBody>
    </xdr:sp>
    <xdr:clientData/>
  </xdr:twoCellAnchor>
  <xdr:twoCellAnchor>
    <xdr:from>
      <xdr:col>2</xdr:col>
      <xdr:colOff>266700</xdr:colOff>
      <xdr:row>6</xdr:row>
      <xdr:rowOff>38100</xdr:rowOff>
    </xdr:from>
    <xdr:to>
      <xdr:col>3</xdr:col>
      <xdr:colOff>327660</xdr:colOff>
      <xdr:row>6</xdr:row>
      <xdr:rowOff>175260</xdr:rowOff>
    </xdr:to>
    <xdr:sp macro="" textlink="Pivots!A7">
      <xdr:nvSpPr>
        <xdr:cNvPr id="5" name="TextBox 4">
          <a:extLst>
            <a:ext uri="{FF2B5EF4-FFF2-40B4-BE49-F238E27FC236}">
              <a16:creationId xmlns:a16="http://schemas.microsoft.com/office/drawing/2014/main" id="{376F8E93-2745-074F-888B-FD30F3ABF806}"/>
            </a:ext>
          </a:extLst>
        </xdr:cNvPr>
        <xdr:cNvSpPr txBox="1"/>
      </xdr:nvSpPr>
      <xdr:spPr>
        <a:xfrm>
          <a:off x="769620" y="1135380"/>
          <a:ext cx="731520" cy="13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822CA6-8C7A-4591-91CA-47304D96E0ED}" type="TxLink">
            <a:rPr lang="en-US" sz="1100" b="0" i="0" u="none" strike="noStrike">
              <a:solidFill>
                <a:schemeClr val="bg1"/>
              </a:solidFill>
              <a:latin typeface="Aptos"/>
            </a:rPr>
            <a:pPr algn="ctr"/>
            <a:t>186</a:t>
          </a:fld>
          <a:endParaRPr lang="en-IN" sz="1100">
            <a:solidFill>
              <a:schemeClr val="bg1"/>
            </a:solidFill>
          </a:endParaRPr>
        </a:p>
      </xdr:txBody>
    </xdr:sp>
    <xdr:clientData/>
  </xdr:twoCellAnchor>
  <xdr:twoCellAnchor>
    <xdr:from>
      <xdr:col>8</xdr:col>
      <xdr:colOff>175260</xdr:colOff>
      <xdr:row>9</xdr:row>
      <xdr:rowOff>53340</xdr:rowOff>
    </xdr:from>
    <xdr:to>
      <xdr:col>9</xdr:col>
      <xdr:colOff>411480</xdr:colOff>
      <xdr:row>9</xdr:row>
      <xdr:rowOff>175260</xdr:rowOff>
    </xdr:to>
    <xdr:sp macro="" textlink="">
      <xdr:nvSpPr>
        <xdr:cNvPr id="7" name="TextBox 6">
          <a:extLst>
            <a:ext uri="{FF2B5EF4-FFF2-40B4-BE49-F238E27FC236}">
              <a16:creationId xmlns:a16="http://schemas.microsoft.com/office/drawing/2014/main" id="{66126640-CAAB-404A-82AE-C3EDADB4F492}"/>
            </a:ext>
          </a:extLst>
        </xdr:cNvPr>
        <xdr:cNvSpPr txBox="1"/>
      </xdr:nvSpPr>
      <xdr:spPr>
        <a:xfrm>
          <a:off x="4701540" y="1699260"/>
          <a:ext cx="906780" cy="121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Calls</a:t>
          </a:r>
        </a:p>
      </xdr:txBody>
    </xdr:sp>
    <xdr:clientData/>
  </xdr:twoCellAnchor>
  <xdr:twoCellAnchor>
    <xdr:from>
      <xdr:col>8</xdr:col>
      <xdr:colOff>297180</xdr:colOff>
      <xdr:row>12</xdr:row>
      <xdr:rowOff>30480</xdr:rowOff>
    </xdr:from>
    <xdr:to>
      <xdr:col>9</xdr:col>
      <xdr:colOff>358140</xdr:colOff>
      <xdr:row>12</xdr:row>
      <xdr:rowOff>167640</xdr:rowOff>
    </xdr:to>
    <xdr:sp macro="" textlink="Pivots!A7">
      <xdr:nvSpPr>
        <xdr:cNvPr id="8" name="TextBox 7">
          <a:extLst>
            <a:ext uri="{FF2B5EF4-FFF2-40B4-BE49-F238E27FC236}">
              <a16:creationId xmlns:a16="http://schemas.microsoft.com/office/drawing/2014/main" id="{50F3D163-D414-40C5-A726-BB99936BABD1}"/>
            </a:ext>
          </a:extLst>
        </xdr:cNvPr>
        <xdr:cNvSpPr txBox="1"/>
      </xdr:nvSpPr>
      <xdr:spPr>
        <a:xfrm>
          <a:off x="4823460" y="2225040"/>
          <a:ext cx="731520" cy="13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822CA6-8C7A-4591-91CA-47304D96E0ED}" type="TxLink">
            <a:rPr lang="en-US" sz="1100" b="0" i="0" u="none" strike="noStrike">
              <a:solidFill>
                <a:schemeClr val="bg1"/>
              </a:solidFill>
              <a:latin typeface="Aptos"/>
            </a:rPr>
            <a:pPr algn="ctr"/>
            <a:t>186</a:t>
          </a:fld>
          <a:endParaRPr lang="en-IN" sz="1100">
            <a:solidFill>
              <a:schemeClr val="bg1"/>
            </a:solidFill>
          </a:endParaRPr>
        </a:p>
      </xdr:txBody>
    </xdr:sp>
    <xdr:clientData/>
  </xdr:twoCellAnchor>
  <xdr:twoCellAnchor>
    <xdr:from>
      <xdr:col>8</xdr:col>
      <xdr:colOff>327660</xdr:colOff>
      <xdr:row>10</xdr:row>
      <xdr:rowOff>22860</xdr:rowOff>
    </xdr:from>
    <xdr:to>
      <xdr:col>9</xdr:col>
      <xdr:colOff>563880</xdr:colOff>
      <xdr:row>10</xdr:row>
      <xdr:rowOff>144780</xdr:rowOff>
    </xdr:to>
    <xdr:sp macro="" textlink="">
      <xdr:nvSpPr>
        <xdr:cNvPr id="10" name="TextBox 9">
          <a:extLst>
            <a:ext uri="{FF2B5EF4-FFF2-40B4-BE49-F238E27FC236}">
              <a16:creationId xmlns:a16="http://schemas.microsoft.com/office/drawing/2014/main" id="{9B0030CA-0AE0-4EF7-96C7-DFE355B6A2B4}"/>
            </a:ext>
          </a:extLst>
        </xdr:cNvPr>
        <xdr:cNvSpPr txBox="1"/>
      </xdr:nvSpPr>
      <xdr:spPr>
        <a:xfrm>
          <a:off x="4853940" y="1851660"/>
          <a:ext cx="906780" cy="121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Calls</a:t>
          </a:r>
        </a:p>
      </xdr:txBody>
    </xdr:sp>
    <xdr:clientData/>
  </xdr:twoCellAnchor>
  <xdr:twoCellAnchor>
    <xdr:from>
      <xdr:col>8</xdr:col>
      <xdr:colOff>449580</xdr:colOff>
      <xdr:row>13</xdr:row>
      <xdr:rowOff>0</xdr:rowOff>
    </xdr:from>
    <xdr:to>
      <xdr:col>9</xdr:col>
      <xdr:colOff>510540</xdr:colOff>
      <xdr:row>13</xdr:row>
      <xdr:rowOff>137160</xdr:rowOff>
    </xdr:to>
    <xdr:sp macro="" textlink="Pivots!A7">
      <xdr:nvSpPr>
        <xdr:cNvPr id="11" name="TextBox 10">
          <a:extLst>
            <a:ext uri="{FF2B5EF4-FFF2-40B4-BE49-F238E27FC236}">
              <a16:creationId xmlns:a16="http://schemas.microsoft.com/office/drawing/2014/main" id="{DC09E2FD-FE81-4205-A3D7-57AA37467D1F}"/>
            </a:ext>
          </a:extLst>
        </xdr:cNvPr>
        <xdr:cNvSpPr txBox="1"/>
      </xdr:nvSpPr>
      <xdr:spPr>
        <a:xfrm>
          <a:off x="4975860" y="2377440"/>
          <a:ext cx="731520" cy="13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822CA6-8C7A-4591-91CA-47304D96E0ED}" type="TxLink">
            <a:rPr lang="en-US" sz="1100" b="0" i="0" u="none" strike="noStrike">
              <a:solidFill>
                <a:schemeClr val="bg1"/>
              </a:solidFill>
              <a:latin typeface="Aptos"/>
            </a:rPr>
            <a:pPr algn="ctr"/>
            <a:t>186</a:t>
          </a:fld>
          <a:endParaRPr lang="en-IN" sz="1100">
            <a:solidFill>
              <a:schemeClr val="bg1"/>
            </a:solidFill>
          </a:endParaRPr>
        </a:p>
      </xdr:txBody>
    </xdr:sp>
    <xdr:clientData/>
  </xdr:twoCellAnchor>
  <xdr:twoCellAnchor>
    <xdr:from>
      <xdr:col>8</xdr:col>
      <xdr:colOff>480060</xdr:colOff>
      <xdr:row>10</xdr:row>
      <xdr:rowOff>175260</xdr:rowOff>
    </xdr:from>
    <xdr:to>
      <xdr:col>10</xdr:col>
      <xdr:colOff>45720</xdr:colOff>
      <xdr:row>11</xdr:row>
      <xdr:rowOff>114300</xdr:rowOff>
    </xdr:to>
    <xdr:sp macro="" textlink="">
      <xdr:nvSpPr>
        <xdr:cNvPr id="13" name="TextBox 12">
          <a:extLst>
            <a:ext uri="{FF2B5EF4-FFF2-40B4-BE49-F238E27FC236}">
              <a16:creationId xmlns:a16="http://schemas.microsoft.com/office/drawing/2014/main" id="{49B799A4-5081-45CF-9746-1FD48528C10C}"/>
            </a:ext>
          </a:extLst>
        </xdr:cNvPr>
        <xdr:cNvSpPr txBox="1"/>
      </xdr:nvSpPr>
      <xdr:spPr>
        <a:xfrm>
          <a:off x="5006340" y="2004060"/>
          <a:ext cx="906780" cy="121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Calls</a:t>
          </a:r>
        </a:p>
      </xdr:txBody>
    </xdr:sp>
    <xdr:clientData/>
  </xdr:twoCellAnchor>
  <xdr:twoCellAnchor>
    <xdr:from>
      <xdr:col>8</xdr:col>
      <xdr:colOff>601980</xdr:colOff>
      <xdr:row>13</xdr:row>
      <xdr:rowOff>152400</xdr:rowOff>
    </xdr:from>
    <xdr:to>
      <xdr:col>9</xdr:col>
      <xdr:colOff>662940</xdr:colOff>
      <xdr:row>14</xdr:row>
      <xdr:rowOff>106680</xdr:rowOff>
    </xdr:to>
    <xdr:sp macro="" textlink="Pivots!A7">
      <xdr:nvSpPr>
        <xdr:cNvPr id="14" name="TextBox 13">
          <a:extLst>
            <a:ext uri="{FF2B5EF4-FFF2-40B4-BE49-F238E27FC236}">
              <a16:creationId xmlns:a16="http://schemas.microsoft.com/office/drawing/2014/main" id="{E371BE68-2094-4B70-983C-1EC034F63E63}"/>
            </a:ext>
          </a:extLst>
        </xdr:cNvPr>
        <xdr:cNvSpPr txBox="1"/>
      </xdr:nvSpPr>
      <xdr:spPr>
        <a:xfrm>
          <a:off x="5128260" y="2529840"/>
          <a:ext cx="731520" cy="13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822CA6-8C7A-4591-91CA-47304D96E0ED}" type="TxLink">
            <a:rPr lang="en-US" sz="1100" b="0" i="0" u="none" strike="noStrike">
              <a:solidFill>
                <a:schemeClr val="bg1"/>
              </a:solidFill>
              <a:latin typeface="Aptos"/>
            </a:rPr>
            <a:pPr algn="ctr"/>
            <a:t>186</a:t>
          </a:fld>
          <a:endParaRPr lang="en-IN" sz="1100">
            <a:solidFill>
              <a:schemeClr val="bg1"/>
            </a:solidFill>
          </a:endParaRPr>
        </a:p>
      </xdr:txBody>
    </xdr:sp>
    <xdr:clientData/>
  </xdr:twoCellAnchor>
  <xdr:twoCellAnchor>
    <xdr:from>
      <xdr:col>1</xdr:col>
      <xdr:colOff>182880</xdr:colOff>
      <xdr:row>8</xdr:row>
      <xdr:rowOff>76200</xdr:rowOff>
    </xdr:from>
    <xdr:to>
      <xdr:col>3</xdr:col>
      <xdr:colOff>556260</xdr:colOff>
      <xdr:row>12</xdr:row>
      <xdr:rowOff>83820</xdr:rowOff>
    </xdr:to>
    <xdr:sp macro="" textlink="Pivots!B4">
      <xdr:nvSpPr>
        <xdr:cNvPr id="15" name="Rectangle 14">
          <a:extLst>
            <a:ext uri="{FF2B5EF4-FFF2-40B4-BE49-F238E27FC236}">
              <a16:creationId xmlns:a16="http://schemas.microsoft.com/office/drawing/2014/main" id="{F91EDF25-D31B-4F83-8D73-5850B8995A48}"/>
            </a:ext>
          </a:extLst>
        </xdr:cNvPr>
        <xdr:cNvSpPr/>
      </xdr:nvSpPr>
      <xdr:spPr>
        <a:xfrm>
          <a:off x="464820" y="1539240"/>
          <a:ext cx="1264920" cy="739140"/>
        </a:xfrm>
        <a:prstGeom prst="rect">
          <a:avLst/>
        </a:prstGeom>
        <a:ln>
          <a:noFill/>
        </a:ln>
        <a:effectLst>
          <a:outerShdw blurRad="254000" dist="127000" dir="2700000" algn="tl"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fld id="{062304E1-026A-46C8-9BDA-518FBBE714BB}" type="TxLink">
            <a:rPr lang="en-US" sz="2000" b="0" i="0" u="none" strike="noStrike">
              <a:solidFill>
                <a:schemeClr val="bg1"/>
              </a:solidFill>
              <a:latin typeface="+mj-lt"/>
              <a:ea typeface="+mn-ea"/>
              <a:cs typeface="+mn-cs"/>
            </a:rPr>
            <a:pPr marL="0" indent="0" algn="ctr"/>
            <a:t>$16,651</a:t>
          </a:fld>
          <a:endParaRPr lang="en-IN" sz="2000" b="0" i="0" u="none" strike="noStrike">
            <a:solidFill>
              <a:schemeClr val="bg1"/>
            </a:solidFill>
            <a:latin typeface="+mj-lt"/>
            <a:ea typeface="+mn-ea"/>
            <a:cs typeface="+mn-cs"/>
          </a:endParaRPr>
        </a:p>
      </xdr:txBody>
    </xdr:sp>
    <xdr:clientData/>
  </xdr:twoCellAnchor>
  <xdr:twoCellAnchor>
    <xdr:from>
      <xdr:col>2</xdr:col>
      <xdr:colOff>137160</xdr:colOff>
      <xdr:row>8</xdr:row>
      <xdr:rowOff>129540</xdr:rowOff>
    </xdr:from>
    <xdr:to>
      <xdr:col>3</xdr:col>
      <xdr:colOff>373380</xdr:colOff>
      <xdr:row>9</xdr:row>
      <xdr:rowOff>68580</xdr:rowOff>
    </xdr:to>
    <xdr:sp macro="" textlink="">
      <xdr:nvSpPr>
        <xdr:cNvPr id="16" name="TextBox 15">
          <a:extLst>
            <a:ext uri="{FF2B5EF4-FFF2-40B4-BE49-F238E27FC236}">
              <a16:creationId xmlns:a16="http://schemas.microsoft.com/office/drawing/2014/main" id="{3F20ECA8-A09C-4E95-AD57-8C9BF02CD190}"/>
            </a:ext>
          </a:extLst>
        </xdr:cNvPr>
        <xdr:cNvSpPr txBox="1"/>
      </xdr:nvSpPr>
      <xdr:spPr>
        <a:xfrm>
          <a:off x="640080" y="1592580"/>
          <a:ext cx="906780" cy="121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Amount</a:t>
          </a:r>
        </a:p>
      </xdr:txBody>
    </xdr:sp>
    <xdr:clientData/>
  </xdr:twoCellAnchor>
  <xdr:twoCellAnchor>
    <xdr:from>
      <xdr:col>2</xdr:col>
      <xdr:colOff>259080</xdr:colOff>
      <xdr:row>11</xdr:row>
      <xdr:rowOff>106680</xdr:rowOff>
    </xdr:from>
    <xdr:to>
      <xdr:col>3</xdr:col>
      <xdr:colOff>320040</xdr:colOff>
      <xdr:row>12</xdr:row>
      <xdr:rowOff>60960</xdr:rowOff>
    </xdr:to>
    <xdr:sp macro="" textlink="Pivots!B7">
      <xdr:nvSpPr>
        <xdr:cNvPr id="17" name="TextBox 16">
          <a:extLst>
            <a:ext uri="{FF2B5EF4-FFF2-40B4-BE49-F238E27FC236}">
              <a16:creationId xmlns:a16="http://schemas.microsoft.com/office/drawing/2014/main" id="{148AFB3D-6EDB-42BA-9154-69487C91FB31}"/>
            </a:ext>
          </a:extLst>
        </xdr:cNvPr>
        <xdr:cNvSpPr txBox="1"/>
      </xdr:nvSpPr>
      <xdr:spPr>
        <a:xfrm>
          <a:off x="762000" y="2118360"/>
          <a:ext cx="731520" cy="13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2FE30E-60B2-4ACB-8DAC-35BB7EC9AE74}" type="TxLink">
            <a:rPr lang="en-US" sz="1100" b="0" i="0" u="none" strike="noStrike">
              <a:solidFill>
                <a:schemeClr val="bg1"/>
              </a:solidFill>
              <a:latin typeface="Aptos"/>
            </a:rPr>
            <a:pPr algn="ctr"/>
            <a:t>$16,651</a:t>
          </a:fld>
          <a:endParaRPr lang="en-IN" sz="1100">
            <a:solidFill>
              <a:schemeClr val="bg1"/>
            </a:solidFill>
          </a:endParaRPr>
        </a:p>
      </xdr:txBody>
    </xdr:sp>
    <xdr:clientData/>
  </xdr:twoCellAnchor>
  <xdr:twoCellAnchor>
    <xdr:from>
      <xdr:col>4</xdr:col>
      <xdr:colOff>0</xdr:colOff>
      <xdr:row>16</xdr:row>
      <xdr:rowOff>0</xdr:rowOff>
    </xdr:from>
    <xdr:to>
      <xdr:col>5</xdr:col>
      <xdr:colOff>236220</xdr:colOff>
      <xdr:row>16</xdr:row>
      <xdr:rowOff>121920</xdr:rowOff>
    </xdr:to>
    <xdr:sp macro="" textlink="">
      <xdr:nvSpPr>
        <xdr:cNvPr id="19" name="TextBox 18">
          <a:extLst>
            <a:ext uri="{FF2B5EF4-FFF2-40B4-BE49-F238E27FC236}">
              <a16:creationId xmlns:a16="http://schemas.microsoft.com/office/drawing/2014/main" id="{BF6079DB-957E-4E86-A500-510265386891}"/>
            </a:ext>
          </a:extLst>
        </xdr:cNvPr>
        <xdr:cNvSpPr txBox="1"/>
      </xdr:nvSpPr>
      <xdr:spPr>
        <a:xfrm>
          <a:off x="1844040" y="2926080"/>
          <a:ext cx="906780" cy="121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solidFill>
              <a:schemeClr val="bg1"/>
            </a:solidFill>
          </a:endParaRPr>
        </a:p>
      </xdr:txBody>
    </xdr:sp>
    <xdr:clientData/>
  </xdr:twoCellAnchor>
  <xdr:twoCellAnchor>
    <xdr:from>
      <xdr:col>4</xdr:col>
      <xdr:colOff>152400</xdr:colOff>
      <xdr:row>16</xdr:row>
      <xdr:rowOff>152400</xdr:rowOff>
    </xdr:from>
    <xdr:to>
      <xdr:col>5</xdr:col>
      <xdr:colOff>388620</xdr:colOff>
      <xdr:row>17</xdr:row>
      <xdr:rowOff>91440</xdr:rowOff>
    </xdr:to>
    <xdr:sp macro="" textlink="">
      <xdr:nvSpPr>
        <xdr:cNvPr id="21" name="TextBox 20">
          <a:extLst>
            <a:ext uri="{FF2B5EF4-FFF2-40B4-BE49-F238E27FC236}">
              <a16:creationId xmlns:a16="http://schemas.microsoft.com/office/drawing/2014/main" id="{2C4415CF-58C4-4D76-9634-AB9D89F43DEE}"/>
            </a:ext>
          </a:extLst>
        </xdr:cNvPr>
        <xdr:cNvSpPr txBox="1"/>
      </xdr:nvSpPr>
      <xdr:spPr>
        <a:xfrm>
          <a:off x="1996440" y="3078480"/>
          <a:ext cx="906780" cy="121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Calls</a:t>
          </a:r>
        </a:p>
      </xdr:txBody>
    </xdr:sp>
    <xdr:clientData/>
  </xdr:twoCellAnchor>
  <xdr:twoCellAnchor>
    <xdr:from>
      <xdr:col>1</xdr:col>
      <xdr:colOff>167640</xdr:colOff>
      <xdr:row>13</xdr:row>
      <xdr:rowOff>76200</xdr:rowOff>
    </xdr:from>
    <xdr:to>
      <xdr:col>3</xdr:col>
      <xdr:colOff>541020</xdr:colOff>
      <xdr:row>17</xdr:row>
      <xdr:rowOff>83820</xdr:rowOff>
    </xdr:to>
    <xdr:sp macro="" textlink="Pivots!C4">
      <xdr:nvSpPr>
        <xdr:cNvPr id="23" name="Rectangle 22">
          <a:extLst>
            <a:ext uri="{FF2B5EF4-FFF2-40B4-BE49-F238E27FC236}">
              <a16:creationId xmlns:a16="http://schemas.microsoft.com/office/drawing/2014/main" id="{E04ED405-D03B-421D-B3C2-BB1CA4572004}"/>
            </a:ext>
          </a:extLst>
        </xdr:cNvPr>
        <xdr:cNvSpPr/>
      </xdr:nvSpPr>
      <xdr:spPr>
        <a:xfrm>
          <a:off x="449580" y="2453640"/>
          <a:ext cx="1264920" cy="739140"/>
        </a:xfrm>
        <a:prstGeom prst="rect">
          <a:avLst/>
        </a:prstGeom>
        <a:ln>
          <a:noFill/>
        </a:ln>
        <a:effectLst>
          <a:outerShdw blurRad="254000" dist="127000" dir="2700000" algn="tl"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fld id="{159AB1D6-0921-484A-AD07-0C7BB443D0F4}" type="TxLink">
            <a:rPr lang="en-US" sz="2000" b="0" i="0" u="none" strike="noStrike">
              <a:solidFill>
                <a:schemeClr val="bg1"/>
              </a:solidFill>
              <a:latin typeface="+mj-lt"/>
              <a:ea typeface="+mn-ea"/>
              <a:cs typeface="+mn-cs"/>
            </a:rPr>
            <a:pPr marL="0" indent="0" algn="ctr"/>
            <a:t>17,807</a:t>
          </a:fld>
          <a:endParaRPr lang="en-IN" sz="2000" b="0" i="0" u="none" strike="noStrike">
            <a:solidFill>
              <a:schemeClr val="bg1"/>
            </a:solidFill>
            <a:latin typeface="+mj-lt"/>
            <a:ea typeface="+mn-ea"/>
            <a:cs typeface="+mn-cs"/>
          </a:endParaRPr>
        </a:p>
      </xdr:txBody>
    </xdr:sp>
    <xdr:clientData/>
  </xdr:twoCellAnchor>
  <xdr:twoCellAnchor>
    <xdr:from>
      <xdr:col>2</xdr:col>
      <xdr:colOff>121920</xdr:colOff>
      <xdr:row>13</xdr:row>
      <xdr:rowOff>129540</xdr:rowOff>
    </xdr:from>
    <xdr:to>
      <xdr:col>3</xdr:col>
      <xdr:colOff>358140</xdr:colOff>
      <xdr:row>14</xdr:row>
      <xdr:rowOff>68580</xdr:rowOff>
    </xdr:to>
    <xdr:sp macro="" textlink="">
      <xdr:nvSpPr>
        <xdr:cNvPr id="24" name="TextBox 23">
          <a:extLst>
            <a:ext uri="{FF2B5EF4-FFF2-40B4-BE49-F238E27FC236}">
              <a16:creationId xmlns:a16="http://schemas.microsoft.com/office/drawing/2014/main" id="{96214D99-7FAA-4971-8F6D-3D3DD1082804}"/>
            </a:ext>
          </a:extLst>
        </xdr:cNvPr>
        <xdr:cNvSpPr txBox="1"/>
      </xdr:nvSpPr>
      <xdr:spPr>
        <a:xfrm>
          <a:off x="624840" y="2506980"/>
          <a:ext cx="906780" cy="121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Duration</a:t>
          </a:r>
        </a:p>
      </xdr:txBody>
    </xdr:sp>
    <xdr:clientData/>
  </xdr:twoCellAnchor>
  <xdr:twoCellAnchor>
    <xdr:from>
      <xdr:col>2</xdr:col>
      <xdr:colOff>243840</xdr:colOff>
      <xdr:row>16</xdr:row>
      <xdr:rowOff>106680</xdr:rowOff>
    </xdr:from>
    <xdr:to>
      <xdr:col>3</xdr:col>
      <xdr:colOff>304800</xdr:colOff>
      <xdr:row>17</xdr:row>
      <xdr:rowOff>60960</xdr:rowOff>
    </xdr:to>
    <xdr:sp macro="" textlink="Pivots!C7">
      <xdr:nvSpPr>
        <xdr:cNvPr id="25" name="TextBox 24">
          <a:extLst>
            <a:ext uri="{FF2B5EF4-FFF2-40B4-BE49-F238E27FC236}">
              <a16:creationId xmlns:a16="http://schemas.microsoft.com/office/drawing/2014/main" id="{BA2CA119-82F9-4F07-A9C3-FB016C222290}"/>
            </a:ext>
          </a:extLst>
        </xdr:cNvPr>
        <xdr:cNvSpPr txBox="1"/>
      </xdr:nvSpPr>
      <xdr:spPr>
        <a:xfrm>
          <a:off x="746760" y="3032760"/>
          <a:ext cx="731520" cy="13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C25A54-B4CC-47CF-87A7-30221C426A1C}" type="TxLink">
            <a:rPr lang="en-US" sz="1100" b="0" i="0" u="none" strike="noStrike">
              <a:solidFill>
                <a:schemeClr val="bg1"/>
              </a:solidFill>
              <a:latin typeface="Aptos"/>
            </a:rPr>
            <a:pPr algn="ctr"/>
            <a:t>17,807</a:t>
          </a:fld>
          <a:endParaRPr lang="en-IN" sz="1100">
            <a:solidFill>
              <a:schemeClr val="bg1"/>
            </a:solidFill>
          </a:endParaRPr>
        </a:p>
      </xdr:txBody>
    </xdr:sp>
    <xdr:clientData/>
  </xdr:twoCellAnchor>
  <xdr:twoCellAnchor>
    <xdr:from>
      <xdr:col>1</xdr:col>
      <xdr:colOff>190500</xdr:colOff>
      <xdr:row>18</xdr:row>
      <xdr:rowOff>114300</xdr:rowOff>
    </xdr:from>
    <xdr:to>
      <xdr:col>3</xdr:col>
      <xdr:colOff>563880</xdr:colOff>
      <xdr:row>22</xdr:row>
      <xdr:rowOff>121920</xdr:rowOff>
    </xdr:to>
    <xdr:sp macro="" textlink="Pivots!D4">
      <xdr:nvSpPr>
        <xdr:cNvPr id="26" name="Rectangle 25">
          <a:extLst>
            <a:ext uri="{FF2B5EF4-FFF2-40B4-BE49-F238E27FC236}">
              <a16:creationId xmlns:a16="http://schemas.microsoft.com/office/drawing/2014/main" id="{26A7506E-38F1-4D7C-BF15-0A690A2DA800}"/>
            </a:ext>
          </a:extLst>
        </xdr:cNvPr>
        <xdr:cNvSpPr/>
      </xdr:nvSpPr>
      <xdr:spPr>
        <a:xfrm>
          <a:off x="474223" y="3470343"/>
          <a:ext cx="1265083" cy="753407"/>
        </a:xfrm>
        <a:prstGeom prst="rect">
          <a:avLst/>
        </a:prstGeom>
        <a:ln>
          <a:noFill/>
        </a:ln>
        <a:effectLst>
          <a:outerShdw blurRad="254000" dist="127000" dir="2700000" algn="tl"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fld id="{8435FF57-C9A8-42C2-89BA-020F125607B4}" type="TxLink">
            <a:rPr lang="en-US" sz="2000" b="0" i="0" u="none" strike="noStrike">
              <a:solidFill>
                <a:schemeClr val="bg1"/>
              </a:solidFill>
              <a:latin typeface="+mj-lt"/>
              <a:ea typeface="+mn-ea"/>
              <a:cs typeface="+mn-cs"/>
            </a:rPr>
            <a:pPr marL="0" indent="0" algn="ctr"/>
            <a:t>3.9</a:t>
          </a:fld>
          <a:endParaRPr lang="en-IN" sz="2000" b="0" i="0" u="none" strike="noStrike">
            <a:solidFill>
              <a:schemeClr val="bg1"/>
            </a:solidFill>
            <a:latin typeface="+mj-lt"/>
            <a:ea typeface="+mn-ea"/>
            <a:cs typeface="+mn-cs"/>
          </a:endParaRPr>
        </a:p>
      </xdr:txBody>
    </xdr:sp>
    <xdr:clientData/>
  </xdr:twoCellAnchor>
  <xdr:twoCellAnchor>
    <xdr:from>
      <xdr:col>2</xdr:col>
      <xdr:colOff>144780</xdr:colOff>
      <xdr:row>18</xdr:row>
      <xdr:rowOff>167640</xdr:rowOff>
    </xdr:from>
    <xdr:to>
      <xdr:col>3</xdr:col>
      <xdr:colOff>381000</xdr:colOff>
      <xdr:row>19</xdr:row>
      <xdr:rowOff>106680</xdr:rowOff>
    </xdr:to>
    <xdr:sp macro="" textlink="">
      <xdr:nvSpPr>
        <xdr:cNvPr id="27" name="TextBox 26">
          <a:extLst>
            <a:ext uri="{FF2B5EF4-FFF2-40B4-BE49-F238E27FC236}">
              <a16:creationId xmlns:a16="http://schemas.microsoft.com/office/drawing/2014/main" id="{DEBFD869-88E6-4D20-BBEF-FABCFB5161E2}"/>
            </a:ext>
          </a:extLst>
        </xdr:cNvPr>
        <xdr:cNvSpPr txBox="1"/>
      </xdr:nvSpPr>
      <xdr:spPr>
        <a:xfrm>
          <a:off x="647700" y="3459480"/>
          <a:ext cx="906780" cy="121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Avg</a:t>
          </a:r>
          <a:r>
            <a:rPr lang="en-IN" sz="1100" baseline="0">
              <a:solidFill>
                <a:schemeClr val="bg1"/>
              </a:solidFill>
            </a:rPr>
            <a:t> Rating</a:t>
          </a:r>
          <a:endParaRPr lang="en-IN" sz="1100">
            <a:solidFill>
              <a:schemeClr val="bg1"/>
            </a:solidFill>
          </a:endParaRPr>
        </a:p>
      </xdr:txBody>
    </xdr:sp>
    <xdr:clientData/>
  </xdr:twoCellAnchor>
  <xdr:twoCellAnchor>
    <xdr:from>
      <xdr:col>2</xdr:col>
      <xdr:colOff>266700</xdr:colOff>
      <xdr:row>21</xdr:row>
      <xdr:rowOff>144780</xdr:rowOff>
    </xdr:from>
    <xdr:to>
      <xdr:col>3</xdr:col>
      <xdr:colOff>327660</xdr:colOff>
      <xdr:row>22</xdr:row>
      <xdr:rowOff>99060</xdr:rowOff>
    </xdr:to>
    <xdr:sp macro="" textlink="Pivots!D7">
      <xdr:nvSpPr>
        <xdr:cNvPr id="28" name="TextBox 27">
          <a:extLst>
            <a:ext uri="{FF2B5EF4-FFF2-40B4-BE49-F238E27FC236}">
              <a16:creationId xmlns:a16="http://schemas.microsoft.com/office/drawing/2014/main" id="{D760A68D-1AC1-42DF-9767-D62CDA2D77C1}"/>
            </a:ext>
          </a:extLst>
        </xdr:cNvPr>
        <xdr:cNvSpPr txBox="1"/>
      </xdr:nvSpPr>
      <xdr:spPr>
        <a:xfrm>
          <a:off x="769620" y="3985260"/>
          <a:ext cx="731520" cy="13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6E0ECC-36A4-4D1B-B5E9-D2685B9EFE78}" type="TxLink">
            <a:rPr lang="en-US" sz="1100" b="0" i="0" u="none" strike="noStrike">
              <a:solidFill>
                <a:schemeClr val="bg1"/>
              </a:solidFill>
              <a:latin typeface="Aptos"/>
            </a:rPr>
            <a:pPr algn="ctr"/>
            <a:t>3.9</a:t>
          </a:fld>
          <a:endParaRPr lang="en-IN" sz="1100">
            <a:solidFill>
              <a:schemeClr val="bg1"/>
            </a:solidFill>
          </a:endParaRPr>
        </a:p>
      </xdr:txBody>
    </xdr:sp>
    <xdr:clientData/>
  </xdr:twoCellAnchor>
  <xdr:twoCellAnchor>
    <xdr:from>
      <xdr:col>1</xdr:col>
      <xdr:colOff>190500</xdr:colOff>
      <xdr:row>24</xdr:row>
      <xdr:rowOff>0</xdr:rowOff>
    </xdr:from>
    <xdr:to>
      <xdr:col>3</xdr:col>
      <xdr:colOff>563880</xdr:colOff>
      <xdr:row>28</xdr:row>
      <xdr:rowOff>7620</xdr:rowOff>
    </xdr:to>
    <xdr:sp macro="" textlink="Pivots!E4">
      <xdr:nvSpPr>
        <xdr:cNvPr id="29" name="Rectangle 28">
          <a:extLst>
            <a:ext uri="{FF2B5EF4-FFF2-40B4-BE49-F238E27FC236}">
              <a16:creationId xmlns:a16="http://schemas.microsoft.com/office/drawing/2014/main" id="{3EFBC9C9-B0F5-4DF0-8B5D-5F4E2D4DFEF0}"/>
            </a:ext>
          </a:extLst>
        </xdr:cNvPr>
        <xdr:cNvSpPr/>
      </xdr:nvSpPr>
      <xdr:spPr>
        <a:xfrm>
          <a:off x="474223" y="4474723"/>
          <a:ext cx="1265083" cy="753408"/>
        </a:xfrm>
        <a:prstGeom prst="rect">
          <a:avLst/>
        </a:prstGeom>
        <a:ln>
          <a:noFill/>
        </a:ln>
        <a:effectLst>
          <a:outerShdw blurRad="254000" dist="127000" dir="2700000" algn="tl"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fld id="{D4DF02F0-D73F-437F-AC0A-81C6AD618AB4}" type="TxLink">
            <a:rPr lang="en-US" sz="2000" b="0" i="0" u="none" strike="noStrike">
              <a:solidFill>
                <a:schemeClr val="bg1"/>
              </a:solidFill>
              <a:latin typeface="+mj-lt"/>
              <a:ea typeface="+mn-ea"/>
              <a:cs typeface="+mn-cs"/>
            </a:rPr>
            <a:pPr marL="0" indent="0" algn="ctr"/>
            <a:t>62</a:t>
          </a:fld>
          <a:endParaRPr lang="en-IN" sz="2000" b="0" i="0" u="none" strike="noStrike">
            <a:solidFill>
              <a:schemeClr val="bg1"/>
            </a:solidFill>
            <a:latin typeface="+mj-lt"/>
            <a:ea typeface="+mn-ea"/>
            <a:cs typeface="+mn-cs"/>
          </a:endParaRPr>
        </a:p>
      </xdr:txBody>
    </xdr:sp>
    <xdr:clientData/>
  </xdr:twoCellAnchor>
  <xdr:twoCellAnchor>
    <xdr:from>
      <xdr:col>2</xdr:col>
      <xdr:colOff>45720</xdr:colOff>
      <xdr:row>24</xdr:row>
      <xdr:rowOff>53340</xdr:rowOff>
    </xdr:from>
    <xdr:to>
      <xdr:col>3</xdr:col>
      <xdr:colOff>480060</xdr:colOff>
      <xdr:row>25</xdr:row>
      <xdr:rowOff>22860</xdr:rowOff>
    </xdr:to>
    <xdr:sp macro="" textlink="">
      <xdr:nvSpPr>
        <xdr:cNvPr id="30" name="TextBox 29">
          <a:extLst>
            <a:ext uri="{FF2B5EF4-FFF2-40B4-BE49-F238E27FC236}">
              <a16:creationId xmlns:a16="http://schemas.microsoft.com/office/drawing/2014/main" id="{F6D139E9-E336-4D9F-9617-D52F8251388B}"/>
            </a:ext>
          </a:extLst>
        </xdr:cNvPr>
        <xdr:cNvSpPr txBox="1"/>
      </xdr:nvSpPr>
      <xdr:spPr>
        <a:xfrm>
          <a:off x="548316" y="4528063"/>
          <a:ext cx="1107170" cy="155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Happy Callers</a:t>
          </a:r>
        </a:p>
      </xdr:txBody>
    </xdr:sp>
    <xdr:clientData/>
  </xdr:twoCellAnchor>
  <xdr:twoCellAnchor>
    <xdr:from>
      <xdr:col>2</xdr:col>
      <xdr:colOff>266700</xdr:colOff>
      <xdr:row>27</xdr:row>
      <xdr:rowOff>30480</xdr:rowOff>
    </xdr:from>
    <xdr:to>
      <xdr:col>3</xdr:col>
      <xdr:colOff>327660</xdr:colOff>
      <xdr:row>27</xdr:row>
      <xdr:rowOff>167640</xdr:rowOff>
    </xdr:to>
    <xdr:sp macro="" textlink="Pivots!E7">
      <xdr:nvSpPr>
        <xdr:cNvPr id="31" name="TextBox 30">
          <a:extLst>
            <a:ext uri="{FF2B5EF4-FFF2-40B4-BE49-F238E27FC236}">
              <a16:creationId xmlns:a16="http://schemas.microsoft.com/office/drawing/2014/main" id="{555FAF57-32C1-411E-A892-06533D1937AD}"/>
            </a:ext>
          </a:extLst>
        </xdr:cNvPr>
        <xdr:cNvSpPr txBox="1"/>
      </xdr:nvSpPr>
      <xdr:spPr>
        <a:xfrm>
          <a:off x="769296" y="5064544"/>
          <a:ext cx="733790" cy="13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72299A-EA17-4A53-BFDB-0D13269AC147}" type="TxLink">
            <a:rPr lang="en-US" sz="1100" b="0" i="0" u="none" strike="noStrike">
              <a:solidFill>
                <a:schemeClr val="bg1"/>
              </a:solidFill>
              <a:latin typeface="Aptos"/>
            </a:rPr>
            <a:pPr algn="ctr"/>
            <a:t>62</a:t>
          </a:fld>
          <a:endParaRPr lang="en-IN" sz="1100">
            <a:solidFill>
              <a:schemeClr val="bg1"/>
            </a:solidFill>
          </a:endParaRPr>
        </a:p>
      </xdr:txBody>
    </xdr:sp>
    <xdr:clientData/>
  </xdr:twoCellAnchor>
  <xdr:twoCellAnchor editAs="oneCell">
    <xdr:from>
      <xdr:col>12</xdr:col>
      <xdr:colOff>72958</xdr:colOff>
      <xdr:row>15</xdr:row>
      <xdr:rowOff>30966</xdr:rowOff>
    </xdr:from>
    <xdr:to>
      <xdr:col>14</xdr:col>
      <xdr:colOff>560638</xdr:colOff>
      <xdr:row>24</xdr:row>
      <xdr:rowOff>162128</xdr:rowOff>
    </xdr:to>
    <mc:AlternateContent xmlns:mc="http://schemas.openxmlformats.org/markup-compatibility/2006">
      <mc:Choice xmlns:a14="http://schemas.microsoft.com/office/drawing/2010/main" Requires="a14">
        <xdr:graphicFrame macro="">
          <xdr:nvGraphicFramePr>
            <xdr:cNvPr id="32" name="Representative 1">
              <a:extLst>
                <a:ext uri="{FF2B5EF4-FFF2-40B4-BE49-F238E27FC236}">
                  <a16:creationId xmlns:a16="http://schemas.microsoft.com/office/drawing/2014/main" id="{928FDCA5-4605-40B8-A6B8-64DC362D1FDD}"/>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7013585" y="3023882"/>
              <a:ext cx="1828065" cy="1783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3</xdr:row>
      <xdr:rowOff>0</xdr:rowOff>
    </xdr:from>
    <xdr:to>
      <xdr:col>11</xdr:col>
      <xdr:colOff>548640</xdr:colOff>
      <xdr:row>14</xdr:row>
      <xdr:rowOff>0</xdr:rowOff>
    </xdr:to>
    <xdr:graphicFrame macro="">
      <xdr:nvGraphicFramePr>
        <xdr:cNvPr id="33" name="Chart 32">
          <a:extLst>
            <a:ext uri="{FF2B5EF4-FFF2-40B4-BE49-F238E27FC236}">
              <a16:creationId xmlns:a16="http://schemas.microsoft.com/office/drawing/2014/main" id="{BE13A1B3-B128-4D46-8D79-F1289D5B1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15</xdr:row>
      <xdr:rowOff>0</xdr:rowOff>
    </xdr:from>
    <xdr:to>
      <xdr:col>8</xdr:col>
      <xdr:colOff>274320</xdr:colOff>
      <xdr:row>34</xdr:row>
      <xdr:rowOff>0</xdr:rowOff>
    </xdr:to>
    <xdr:graphicFrame macro="">
      <xdr:nvGraphicFramePr>
        <xdr:cNvPr id="6" name="Chart 5">
          <a:extLst>
            <a:ext uri="{FF2B5EF4-FFF2-40B4-BE49-F238E27FC236}">
              <a16:creationId xmlns:a16="http://schemas.microsoft.com/office/drawing/2014/main" id="{E8AE37A4-82FF-4F21-90EE-0E6D1F4ED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274320</xdr:colOff>
      <xdr:row>14</xdr:row>
      <xdr:rowOff>186446</xdr:rowOff>
    </xdr:from>
    <xdr:to>
      <xdr:col>11</xdr:col>
      <xdr:colOff>594360</xdr:colOff>
      <xdr:row>33</xdr:row>
      <xdr:rowOff>186445</xdr:rowOff>
    </xdr:to>
    <xdr:graphicFrame macro="">
      <xdr:nvGraphicFramePr>
        <xdr:cNvPr id="9" name="Chart 8">
          <a:extLst>
            <a:ext uri="{FF2B5EF4-FFF2-40B4-BE49-F238E27FC236}">
              <a16:creationId xmlns:a16="http://schemas.microsoft.com/office/drawing/2014/main" id="{6779568C-90B2-4EFE-B889-BEB63286B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167640</xdr:colOff>
      <xdr:row>3</xdr:row>
      <xdr:rowOff>0</xdr:rowOff>
    </xdr:from>
    <xdr:to>
      <xdr:col>20</xdr:col>
      <xdr:colOff>0</xdr:colOff>
      <xdr:row>14</xdr:row>
      <xdr:rowOff>0</xdr:rowOff>
    </xdr:to>
    <xdr:graphicFrame macro="">
      <xdr:nvGraphicFramePr>
        <xdr:cNvPr id="12" name="Chart 11">
          <a:extLst>
            <a:ext uri="{FF2B5EF4-FFF2-40B4-BE49-F238E27FC236}">
              <a16:creationId xmlns:a16="http://schemas.microsoft.com/office/drawing/2014/main" id="{E889FE9B-F209-40B1-A2D8-24CAE5D71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53340</xdr:colOff>
      <xdr:row>3</xdr:row>
      <xdr:rowOff>0</xdr:rowOff>
    </xdr:from>
    <xdr:to>
      <xdr:col>24</xdr:col>
      <xdr:colOff>129540</xdr:colOff>
      <xdr:row>14</xdr:row>
      <xdr:rowOff>0</xdr:rowOff>
    </xdr:to>
    <xdr:graphicFrame macro="">
      <xdr:nvGraphicFramePr>
        <xdr:cNvPr id="18" name="Chart 17">
          <a:extLst>
            <a:ext uri="{FF2B5EF4-FFF2-40B4-BE49-F238E27FC236}">
              <a16:creationId xmlns:a16="http://schemas.microsoft.com/office/drawing/2014/main" id="{C9398D3E-E4A7-41A0-B7D8-E232CBD01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88.508059259257" backgroundQuery="1" createdVersion="8" refreshedVersion="8" minRefreshableVersion="3" recordCount="0" supportSubquery="1" supportAdvancedDrill="1" xr:uid="{92612697-7417-49FA-A121-3C14254B413F}">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88.527771990739" backgroundQuery="1" createdVersion="8" refreshedVersion="8" minRefreshableVersion="3" recordCount="0" supportSubquery="1" supportAdvancedDrill="1" xr:uid="{E9D7F662-42CD-44D3-825C-062DDDBF3CB9}">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206.454900462966" backgroundQuery="1" createdVersion="8" refreshedVersion="8" minRefreshableVersion="3" recordCount="0" supportSubquery="1" supportAdvancedDrill="1" xr:uid="{2131AC0A-52B7-4E37-BED8-AAD2937955D6}">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206.454901041667" backgroundQuery="1" createdVersion="8" refreshedVersion="8" minRefreshableVersion="3" recordCount="0" supportSubquery="1" supportAdvancedDrill="1" xr:uid="{958AC259-C2CC-47D4-875F-AF6F11A5A19A}">
  <cacheSource type="external" connectionId="1"/>
  <cacheFields count="5">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206.454901504629" backgroundQuery="1" createdVersion="8" refreshedVersion="8" minRefreshableVersion="3" recordCount="0" supportSubquery="1" supportAdvancedDrill="1" xr:uid="{E2FF9F06-E2C5-426A-8BAC-D148E56439A0}">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206.454901967591" backgroundQuery="1" createdVersion="8" refreshedVersion="8" minRefreshableVersion="3" recordCount="0" supportSubquery="1" supportAdvancedDrill="1" xr:uid="{E34FCEB8-EF48-418E-BF22-0EAF7CBE4065}">
  <cacheSource type="external" connectionId="1"/>
  <cacheFields count="1">
    <cacheField name="[calls].[Representative].[Representative]" caption="Representative" numFmtId="0" hierarchy="3" level="1">
      <sharedItems count="1">
        <s v="R04"/>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206.454902662037" backgroundQuery="1" createdVersion="8" refreshedVersion="8" minRefreshableVersion="3" recordCount="0" supportSubquery="1" supportAdvancedDrill="1" xr:uid="{EEF5C63B-3D83-40C4-B4C1-DF85803186DB}">
  <cacheSource type="external" connectionId="1"/>
  <cacheFields count="3">
    <cacheField name="[calls].[Representative].[Representative]" caption="Representative" numFmtId="0" hierarchy="3" level="1">
      <sharedItems count="1">
        <s v="R04"/>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206.454903124999" backgroundQuery="1" createdVersion="8" refreshedVersion="8" minRefreshableVersion="3" recordCount="0" supportSubquery="1" supportAdvancedDrill="1" xr:uid="{354AE50E-06C3-4ADF-A33F-133BDD97A5E7}">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206.454903472222" backgroundQuery="1" createdVersion="8" refreshedVersion="8" minRefreshableVersion="3" recordCount="0" supportSubquery="1" supportAdvancedDrill="1" xr:uid="{8A13F548-A16B-432F-981F-734B0FB73E8C}">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84.85799733796" backgroundQuery="1" createdVersion="3" refreshedVersion="8" minRefreshableVersion="3" recordCount="0" supportSubquery="1" supportAdvancedDrill="1" xr:uid="{5DA20076-6550-4AB7-B22D-9B14CF0509BC}">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348333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0FE63B-50E1-43D1-A0BC-5CC8E5DFC4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8:E5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99BDB1-3FE9-4B09-9A55-6DC155B981DE}" name="selected rep" cacheId="1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7:B39"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formats count="1">
    <format dxfId="1">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C49528-190E-4F5E-9B09-9845FD4E978A}" name="reps pivot"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C30"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D6A879-D16C-4256-BA8E-759337B0426F}" name="weekday trend"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E16:F24"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745B7B-EC63-4E3F-A04B-3743FC62CDD2}" name="monthly trend" cacheId="1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1:C24" firstHeaderRow="0" firstDataRow="1" firstDataCol="1"/>
  <pivotFields count="5">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1"/>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4AEAE4-2A43-454E-99B2-C7FC80967962}" name="rep pivot" cacheId="1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E7"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DE74F4-2FB7-4F99-A776-53B9CF7AD004}" name="rep amounts"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B74:H93"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7F0AE6-EA2E-4DE7-BD8C-D843B8DA2A57}" name="rep satisfaction" cacheId="1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62:C68"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20A873-0B63-4210-9BAD-C04DE91B683A}" name="Summary Pivot"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2D8CCA38-5847-45D6-95D1-3E36060AD06C}" sourceName="[calls].[Representative]">
  <pivotTables>
    <pivotTable tabId="6" name="rep pivot"/>
    <pivotTable tabId="6" name="monthly trend"/>
    <pivotTable tabId="6" name="weekday trend"/>
    <pivotTable tabId="6" name="selected rep"/>
    <pivotTable tabId="6" name="reps pivot"/>
    <pivotTable tabId="6" name="Summary Pivot"/>
    <pivotTable tabId="6" name="rep satisfaction"/>
  </pivotTables>
  <data>
    <olap pivotCacheId="2134833391">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56CCC0D2-8AD0-41F3-A1BC-36D6D323CD28}" cache="Slicer_Representative" caption="Representativ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E9E81D48-B535-46B6-A51A-7658404DF9F2}" cache="Slicer_Representative" caption="Representative" level="1" style="SlicerStyleDark5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5"/>
    <tableColumn id="5" xr3:uid="{5A35565E-8707-4DED-AD15-A0669D67B382}" name="Date of Call" dataDxfId="14"/>
    <tableColumn id="6" xr3:uid="{F2E4F158-B41F-47BC-8DF8-DFCADFEE4E40}" name="Purchase Amount"/>
    <tableColumn id="7" xr3:uid="{04B291B5-47BD-4F78-8FD8-D1551CCA6BD9}" name="Satisfaction Rating"/>
    <tableColumn id="8" xr3:uid="{6E4123C0-0B17-43B8-A142-A1E540CE974C}" name="FY" dataDxfId="13">
      <calculatedColumnFormula>IF(MONTH(calls[[#This Row],[Date of Call]])&lt;=6, YEAR(calls[[#This Row],[Date of Call]]), YEAR(calls[[#This Row],[Date of Call]])+1)</calculatedColumnFormula>
    </tableColumn>
    <tableColumn id="9" xr3:uid="{199FA271-5E9B-46CE-9BC6-2801F92CD17E}" name="Day of week" dataDxfId="12">
      <calculatedColumnFormula>TEXT(calls[[#This Row],[Date of Call]],"DDDD")</calculatedColumnFormula>
    </tableColumn>
    <tableColumn id="10" xr3:uid="{328CDB09-95B8-4D5E-9ED9-EF0D363735A1}"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9" headerRowBorderDxfId="8" tableBorderDxfId="7" totalsRowBorderDxfId="6">
  <autoFilter ref="Q3:T18" xr:uid="{27158F51-A707-4171-8A04-81FB0AABCBA5}"/>
  <tableColumns count="4">
    <tableColumn id="1" xr3:uid="{02688061-6A8C-4E23-B7FF-D00CD8B58CAC}" name="Customer ID" dataDxfId="5"/>
    <tableColumn id="2" xr3:uid="{771678B6-DB44-426B-9874-B4E421A440D5}" name="Gedner" dataDxfId="4"/>
    <tableColumn id="3" xr3:uid="{B0D41C62-587E-494D-B49A-603F2C05F8D3}" name="Age" dataDxfId="3"/>
    <tableColumn id="4" xr3:uid="{663F92D6-FE31-4D81-9E01-8D066DDC8A88}"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4" zoomScale="95" zoomScaleNormal="95" workbookViewId="0">
      <selection activeCell="E15" sqref="E15"/>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4641C-8A01-4B6F-9E78-208407A6A440}">
  <dimension ref="A3:J93"/>
  <sheetViews>
    <sheetView topLeftCell="A31" workbookViewId="0">
      <selection activeCell="D75" sqref="D75"/>
    </sheetView>
  </sheetViews>
  <sheetFormatPr defaultRowHeight="14.4" x14ac:dyDescent="0.3"/>
  <cols>
    <col min="1" max="1" width="9.5" bestFit="1" customWidth="1"/>
    <col min="2" max="2" width="12.19921875" bestFit="1" customWidth="1"/>
    <col min="3" max="3" width="9.5" bestFit="1" customWidth="1"/>
    <col min="4" max="4" width="13.09765625" bestFit="1" customWidth="1"/>
    <col min="5" max="5" width="7.296875" bestFit="1" customWidth="1"/>
    <col min="6" max="6" width="9.5" bestFit="1" customWidth="1"/>
    <col min="7" max="7" width="6.3984375" bestFit="1" customWidth="1"/>
    <col min="8" max="8" width="10.3984375" bestFit="1" customWidth="1"/>
    <col min="9" max="9" width="10.8984375" customWidth="1"/>
    <col min="10" max="10" width="4.09765625" bestFit="1" customWidth="1"/>
    <col min="11" max="11" width="3.796875" bestFit="1" customWidth="1"/>
    <col min="12" max="12" width="4.09765625" bestFit="1" customWidth="1"/>
    <col min="13" max="13" width="4.19921875" bestFit="1" customWidth="1"/>
    <col min="14" max="14" width="10.3984375" bestFit="1" customWidth="1"/>
    <col min="15" max="330" width="15.19921875" bestFit="1" customWidth="1"/>
    <col min="331" max="331" width="10.3984375" bestFit="1" customWidth="1"/>
  </cols>
  <sheetData>
    <row r="3" spans="1:6" x14ac:dyDescent="0.3">
      <c r="A3" t="s">
        <v>1042</v>
      </c>
      <c r="B3" t="s">
        <v>1043</v>
      </c>
      <c r="C3" t="s">
        <v>1044</v>
      </c>
      <c r="D3" t="s">
        <v>1045</v>
      </c>
      <c r="E3" t="s">
        <v>1046</v>
      </c>
    </row>
    <row r="4" spans="1:6" x14ac:dyDescent="0.3">
      <c r="A4" s="21">
        <v>186</v>
      </c>
      <c r="B4" s="22">
        <v>16651</v>
      </c>
      <c r="C4" s="21">
        <v>17807</v>
      </c>
      <c r="D4" s="23">
        <v>3.8973118279569863</v>
      </c>
      <c r="E4" s="21">
        <v>62</v>
      </c>
    </row>
    <row r="6" spans="1:6" x14ac:dyDescent="0.3">
      <c r="A6" t="s">
        <v>1042</v>
      </c>
      <c r="B6" t="s">
        <v>1043</v>
      </c>
      <c r="C6" t="s">
        <v>1044</v>
      </c>
      <c r="D6" t="s">
        <v>1045</v>
      </c>
      <c r="E6" t="s">
        <v>1046</v>
      </c>
    </row>
    <row r="7" spans="1:6" x14ac:dyDescent="0.3">
      <c r="A7" s="21">
        <v>186</v>
      </c>
      <c r="B7" s="22">
        <v>16651</v>
      </c>
      <c r="C7" s="21">
        <v>17807</v>
      </c>
      <c r="D7" s="23">
        <v>3.8973118279569863</v>
      </c>
      <c r="E7" s="21">
        <v>62</v>
      </c>
    </row>
    <row r="11" spans="1:6" x14ac:dyDescent="0.3">
      <c r="A11" s="24" t="s">
        <v>1060</v>
      </c>
      <c r="B11" t="s">
        <v>1042</v>
      </c>
      <c r="C11" t="s">
        <v>1061</v>
      </c>
    </row>
    <row r="12" spans="1:6" x14ac:dyDescent="0.3">
      <c r="A12" s="25" t="s">
        <v>1048</v>
      </c>
      <c r="B12" s="21">
        <v>10</v>
      </c>
      <c r="C12" s="21">
        <v>10</v>
      </c>
    </row>
    <row r="13" spans="1:6" x14ac:dyDescent="0.3">
      <c r="A13" s="25" t="s">
        <v>1049</v>
      </c>
      <c r="B13" s="21">
        <v>11</v>
      </c>
      <c r="C13" s="21">
        <v>11</v>
      </c>
    </row>
    <row r="14" spans="1:6" x14ac:dyDescent="0.3">
      <c r="A14" s="25" t="s">
        <v>1050</v>
      </c>
      <c r="B14" s="21">
        <v>30</v>
      </c>
      <c r="C14" s="21">
        <v>30</v>
      </c>
    </row>
    <row r="15" spans="1:6" x14ac:dyDescent="0.3">
      <c r="A15" s="25" t="s">
        <v>1051</v>
      </c>
      <c r="B15" s="21">
        <v>23</v>
      </c>
      <c r="C15" s="21">
        <v>23</v>
      </c>
    </row>
    <row r="16" spans="1:6" x14ac:dyDescent="0.3">
      <c r="A16" s="25" t="s">
        <v>1052</v>
      </c>
      <c r="B16" s="21">
        <v>22</v>
      </c>
      <c r="C16" s="21">
        <v>22</v>
      </c>
      <c r="E16" s="24" t="s">
        <v>1060</v>
      </c>
      <c r="F16" t="s">
        <v>1042</v>
      </c>
    </row>
    <row r="17" spans="1:10" x14ac:dyDescent="0.3">
      <c r="A17" s="25" t="s">
        <v>1053</v>
      </c>
      <c r="B17" s="21">
        <v>11</v>
      </c>
      <c r="C17" s="21">
        <v>11</v>
      </c>
      <c r="E17" s="25" t="s">
        <v>1065</v>
      </c>
      <c r="F17" s="21">
        <v>25</v>
      </c>
    </row>
    <row r="18" spans="1:10" x14ac:dyDescent="0.3">
      <c r="A18" s="25" t="s">
        <v>1054</v>
      </c>
      <c r="B18" s="21">
        <v>17</v>
      </c>
      <c r="C18" s="21">
        <v>17</v>
      </c>
      <c r="E18" s="25" t="s">
        <v>1063</v>
      </c>
      <c r="F18" s="21">
        <v>23</v>
      </c>
    </row>
    <row r="19" spans="1:10" x14ac:dyDescent="0.3">
      <c r="A19" s="25" t="s">
        <v>1055</v>
      </c>
      <c r="B19" s="21">
        <v>12</v>
      </c>
      <c r="C19" s="21">
        <v>12</v>
      </c>
      <c r="E19" s="25" t="s">
        <v>1067</v>
      </c>
      <c r="F19" s="21">
        <v>28</v>
      </c>
    </row>
    <row r="20" spans="1:10" x14ac:dyDescent="0.3">
      <c r="A20" s="25" t="s">
        <v>1056</v>
      </c>
      <c r="B20" s="21">
        <v>13</v>
      </c>
      <c r="C20" s="21">
        <v>13</v>
      </c>
      <c r="E20" s="25" t="s">
        <v>1068</v>
      </c>
      <c r="F20" s="21">
        <v>29</v>
      </c>
    </row>
    <row r="21" spans="1:10" x14ac:dyDescent="0.3">
      <c r="A21" s="25" t="s">
        <v>1057</v>
      </c>
      <c r="B21" s="21">
        <v>15</v>
      </c>
      <c r="C21" s="21">
        <v>15</v>
      </c>
      <c r="E21" s="25" t="s">
        <v>1066</v>
      </c>
      <c r="F21" s="21">
        <v>18</v>
      </c>
    </row>
    <row r="22" spans="1:10" x14ac:dyDescent="0.3">
      <c r="A22" s="25" t="s">
        <v>1058</v>
      </c>
      <c r="B22" s="21">
        <v>8</v>
      </c>
      <c r="C22" s="21">
        <v>8</v>
      </c>
      <c r="E22" s="25" t="s">
        <v>1062</v>
      </c>
      <c r="F22" s="21">
        <v>29</v>
      </c>
    </row>
    <row r="23" spans="1:10" x14ac:dyDescent="0.3">
      <c r="A23" s="25" t="s">
        <v>1059</v>
      </c>
      <c r="B23" s="21">
        <v>14</v>
      </c>
      <c r="C23" s="21">
        <v>14</v>
      </c>
      <c r="E23" s="25" t="s">
        <v>1064</v>
      </c>
      <c r="F23" s="21">
        <v>34</v>
      </c>
    </row>
    <row r="24" spans="1:10" x14ac:dyDescent="0.3">
      <c r="A24" s="25" t="s">
        <v>1047</v>
      </c>
      <c r="B24" s="21">
        <v>186</v>
      </c>
      <c r="C24" s="21">
        <v>186</v>
      </c>
      <c r="E24" s="25" t="s">
        <v>1047</v>
      </c>
      <c r="F24" s="21">
        <v>186</v>
      </c>
    </row>
    <row r="26" spans="1:10" x14ac:dyDescent="0.3">
      <c r="H26" t="s">
        <v>1074</v>
      </c>
      <c r="I26" t="str">
        <f>B38</f>
        <v>R04</v>
      </c>
    </row>
    <row r="28" spans="1:10" x14ac:dyDescent="0.3">
      <c r="A28" s="24" t="s">
        <v>1060</v>
      </c>
      <c r="B28" t="s">
        <v>1042</v>
      </c>
      <c r="C28" t="s">
        <v>1043</v>
      </c>
      <c r="E28" t="s">
        <v>1069</v>
      </c>
      <c r="F28" t="s">
        <v>1070</v>
      </c>
      <c r="G28" t="s">
        <v>1071</v>
      </c>
      <c r="H28" t="s">
        <v>1072</v>
      </c>
      <c r="I28" t="s">
        <v>1073</v>
      </c>
    </row>
    <row r="29" spans="1:10" x14ac:dyDescent="0.3">
      <c r="A29" s="25" t="s">
        <v>13</v>
      </c>
      <c r="B29" s="21">
        <v>186</v>
      </c>
      <c r="C29" s="22">
        <v>16651</v>
      </c>
      <c r="E29" s="25" t="s">
        <v>11</v>
      </c>
      <c r="F29" s="21">
        <v>189</v>
      </c>
      <c r="G29" s="26">
        <v>18415</v>
      </c>
      <c r="H29" s="25" t="e">
        <f>IF(E29=$I$26,F29,NA())</f>
        <v>#N/A</v>
      </c>
      <c r="I29" s="21" t="e">
        <f>IF(E29=$I$26,G29,NA())</f>
        <v>#N/A</v>
      </c>
      <c r="J29" s="22"/>
    </row>
    <row r="30" spans="1:10" x14ac:dyDescent="0.3">
      <c r="A30" s="25" t="s">
        <v>1047</v>
      </c>
      <c r="B30" s="21">
        <v>186</v>
      </c>
      <c r="C30" s="22">
        <v>16651</v>
      </c>
      <c r="E30" s="25" t="s">
        <v>9</v>
      </c>
      <c r="F30" s="21">
        <v>218</v>
      </c>
      <c r="G30" s="26">
        <v>20581</v>
      </c>
      <c r="H30" s="25" t="e">
        <f t="shared" ref="H30:H33" si="0">IF(E30=$I$26,F30,NA())</f>
        <v>#N/A</v>
      </c>
      <c r="I30" s="21" t="e">
        <f t="shared" ref="I30:I33" si="1">IF(E30=$I$26,G30,NA())</f>
        <v>#N/A</v>
      </c>
      <c r="J30" s="22"/>
    </row>
    <row r="31" spans="1:10" x14ac:dyDescent="0.3">
      <c r="E31" s="25" t="s">
        <v>6</v>
      </c>
      <c r="F31" s="21">
        <v>207</v>
      </c>
      <c r="G31" s="26">
        <v>20872</v>
      </c>
      <c r="H31" s="25" t="e">
        <f t="shared" si="0"/>
        <v>#N/A</v>
      </c>
      <c r="I31" s="21" t="e">
        <f t="shared" si="1"/>
        <v>#N/A</v>
      </c>
      <c r="J31" s="22"/>
    </row>
    <row r="32" spans="1:10" x14ac:dyDescent="0.3">
      <c r="E32" s="25" t="s">
        <v>13</v>
      </c>
      <c r="F32" s="21">
        <v>186</v>
      </c>
      <c r="G32" s="26">
        <v>16651</v>
      </c>
      <c r="H32" s="25">
        <f t="shared" si="0"/>
        <v>186</v>
      </c>
      <c r="I32" s="21">
        <f t="shared" si="1"/>
        <v>16651</v>
      </c>
      <c r="J32" s="22"/>
    </row>
    <row r="33" spans="2:10" x14ac:dyDescent="0.3">
      <c r="E33" s="25" t="s">
        <v>10</v>
      </c>
      <c r="F33" s="21">
        <v>200</v>
      </c>
      <c r="G33" s="26">
        <v>20104</v>
      </c>
      <c r="H33" s="25" t="e">
        <f t="shared" si="0"/>
        <v>#N/A</v>
      </c>
      <c r="I33" s="21" t="e">
        <f t="shared" si="1"/>
        <v>#N/A</v>
      </c>
      <c r="J33" s="22"/>
    </row>
    <row r="37" spans="2:10" x14ac:dyDescent="0.3">
      <c r="B37" s="24" t="s">
        <v>1060</v>
      </c>
    </row>
    <row r="38" spans="2:10" x14ac:dyDescent="0.3">
      <c r="B38" s="27" t="s">
        <v>13</v>
      </c>
    </row>
    <row r="39" spans="2:10" x14ac:dyDescent="0.3">
      <c r="B39" s="25" t="s">
        <v>1047</v>
      </c>
    </row>
    <row r="48" spans="2:10" x14ac:dyDescent="0.3">
      <c r="B48" s="24" t="s">
        <v>1042</v>
      </c>
      <c r="C48" s="24" t="s">
        <v>1075</v>
      </c>
    </row>
    <row r="49" spans="2:5" x14ac:dyDescent="0.3">
      <c r="B49" s="24" t="s">
        <v>1060</v>
      </c>
      <c r="C49" t="s">
        <v>999</v>
      </c>
      <c r="D49" t="s">
        <v>998</v>
      </c>
      <c r="E49" t="s">
        <v>1047</v>
      </c>
    </row>
    <row r="50" spans="2:5" x14ac:dyDescent="0.3">
      <c r="B50" s="25" t="s">
        <v>1002</v>
      </c>
      <c r="C50" s="21">
        <v>144</v>
      </c>
      <c r="D50" s="21">
        <v>132</v>
      </c>
      <c r="E50" s="21">
        <v>276</v>
      </c>
    </row>
    <row r="51" spans="2:5" x14ac:dyDescent="0.3">
      <c r="B51" s="25" t="s">
        <v>1001</v>
      </c>
      <c r="C51" s="21">
        <v>326</v>
      </c>
      <c r="D51" s="21">
        <v>63</v>
      </c>
      <c r="E51" s="21">
        <v>389</v>
      </c>
    </row>
    <row r="52" spans="2:5" x14ac:dyDescent="0.3">
      <c r="B52" s="25" t="s">
        <v>1000</v>
      </c>
      <c r="C52" s="21">
        <v>129</v>
      </c>
      <c r="D52" s="21">
        <v>206</v>
      </c>
      <c r="E52" s="21">
        <v>335</v>
      </c>
    </row>
    <row r="53" spans="2:5" x14ac:dyDescent="0.3">
      <c r="B53" s="25" t="s">
        <v>1047</v>
      </c>
      <c r="C53" s="21">
        <v>599</v>
      </c>
      <c r="D53" s="21">
        <v>401</v>
      </c>
      <c r="E53" s="21">
        <v>1000</v>
      </c>
    </row>
    <row r="62" spans="2:5" x14ac:dyDescent="0.3">
      <c r="B62" s="24" t="s">
        <v>1060</v>
      </c>
      <c r="C62" t="s">
        <v>1042</v>
      </c>
    </row>
    <row r="63" spans="2:5" x14ac:dyDescent="0.3">
      <c r="B63" s="25">
        <v>1</v>
      </c>
      <c r="C63" s="21">
        <v>3</v>
      </c>
    </row>
    <row r="64" spans="2:5" x14ac:dyDescent="0.3">
      <c r="B64" s="25">
        <v>2</v>
      </c>
      <c r="C64" s="21">
        <v>10</v>
      </c>
    </row>
    <row r="65" spans="2:8" x14ac:dyDescent="0.3">
      <c r="B65" s="25">
        <v>3</v>
      </c>
      <c r="C65" s="21">
        <v>41</v>
      </c>
    </row>
    <row r="66" spans="2:8" x14ac:dyDescent="0.3">
      <c r="B66" s="25">
        <v>4</v>
      </c>
      <c r="C66" s="21">
        <v>70</v>
      </c>
    </row>
    <row r="67" spans="2:8" x14ac:dyDescent="0.3">
      <c r="B67" s="25">
        <v>5</v>
      </c>
      <c r="C67" s="21">
        <v>62</v>
      </c>
    </row>
    <row r="68" spans="2:8" x14ac:dyDescent="0.3">
      <c r="B68" s="25" t="s">
        <v>1047</v>
      </c>
      <c r="C68" s="21">
        <v>186</v>
      </c>
    </row>
    <row r="74" spans="2:8" x14ac:dyDescent="0.3">
      <c r="B74" s="24" t="s">
        <v>1043</v>
      </c>
      <c r="C74" s="24" t="s">
        <v>1075</v>
      </c>
    </row>
    <row r="75" spans="2:8" x14ac:dyDescent="0.3">
      <c r="B75" s="24" t="s">
        <v>1060</v>
      </c>
      <c r="C75" t="s">
        <v>11</v>
      </c>
      <c r="D75" t="s">
        <v>9</v>
      </c>
      <c r="E75" t="s">
        <v>6</v>
      </c>
      <c r="F75" t="s">
        <v>13</v>
      </c>
      <c r="G75" t="s">
        <v>10</v>
      </c>
      <c r="H75" t="s">
        <v>1047</v>
      </c>
    </row>
    <row r="76" spans="2:8" x14ac:dyDescent="0.3">
      <c r="B76" s="25" t="s">
        <v>1002</v>
      </c>
    </row>
    <row r="77" spans="2:8" x14ac:dyDescent="0.3">
      <c r="B77" s="28" t="s">
        <v>20</v>
      </c>
      <c r="C77" s="22">
        <v>891</v>
      </c>
      <c r="D77" s="22">
        <v>1332</v>
      </c>
      <c r="E77" s="22">
        <v>1282</v>
      </c>
      <c r="F77" s="22">
        <v>739</v>
      </c>
      <c r="G77" s="22">
        <v>560</v>
      </c>
      <c r="H77" s="22">
        <v>4804</v>
      </c>
    </row>
    <row r="78" spans="2:8" x14ac:dyDescent="0.3">
      <c r="B78" s="28" t="s">
        <v>12</v>
      </c>
      <c r="C78" s="22">
        <v>1991</v>
      </c>
      <c r="D78" s="22">
        <v>1886</v>
      </c>
      <c r="E78" s="22">
        <v>1206</v>
      </c>
      <c r="F78" s="22">
        <v>884</v>
      </c>
      <c r="G78" s="22">
        <v>1722</v>
      </c>
      <c r="H78" s="22">
        <v>7689</v>
      </c>
    </row>
    <row r="79" spans="2:8" x14ac:dyDescent="0.3">
      <c r="B79" s="28" t="s">
        <v>8</v>
      </c>
      <c r="C79" s="22">
        <v>1163</v>
      </c>
      <c r="D79" s="22">
        <v>1180</v>
      </c>
      <c r="E79" s="22">
        <v>1616</v>
      </c>
      <c r="F79" s="22">
        <v>1043</v>
      </c>
      <c r="G79" s="22">
        <v>1747</v>
      </c>
      <c r="H79" s="22">
        <v>6749</v>
      </c>
    </row>
    <row r="80" spans="2:8" x14ac:dyDescent="0.3">
      <c r="B80" s="28" t="s">
        <v>16</v>
      </c>
      <c r="C80" s="22">
        <v>1438</v>
      </c>
      <c r="D80" s="22">
        <v>1616</v>
      </c>
      <c r="E80" s="22">
        <v>866</v>
      </c>
      <c r="F80" s="22">
        <v>829</v>
      </c>
      <c r="G80" s="22">
        <v>2070</v>
      </c>
      <c r="H80" s="22">
        <v>6819</v>
      </c>
    </row>
    <row r="81" spans="2:8" x14ac:dyDescent="0.3">
      <c r="B81" s="25" t="s">
        <v>1001</v>
      </c>
    </row>
    <row r="82" spans="2:8" x14ac:dyDescent="0.3">
      <c r="B82" s="28" t="s">
        <v>24</v>
      </c>
      <c r="C82" s="22">
        <v>1233</v>
      </c>
      <c r="D82" s="22">
        <v>223</v>
      </c>
      <c r="E82" s="22">
        <v>1680</v>
      </c>
      <c r="F82" s="22">
        <v>990</v>
      </c>
      <c r="G82" s="22">
        <v>1508</v>
      </c>
      <c r="H82" s="22">
        <v>5634</v>
      </c>
    </row>
    <row r="83" spans="2:8" x14ac:dyDescent="0.3">
      <c r="B83" s="28" t="s">
        <v>15</v>
      </c>
      <c r="C83" s="22">
        <v>1598</v>
      </c>
      <c r="D83" s="22">
        <v>1907</v>
      </c>
      <c r="E83" s="22">
        <v>869</v>
      </c>
      <c r="F83" s="22">
        <v>1426</v>
      </c>
      <c r="G83" s="22">
        <v>1416</v>
      </c>
      <c r="H83" s="22">
        <v>7216</v>
      </c>
    </row>
    <row r="84" spans="2:8" x14ac:dyDescent="0.3">
      <c r="B84" s="28" t="s">
        <v>5</v>
      </c>
      <c r="C84" s="22">
        <v>900</v>
      </c>
      <c r="D84" s="22">
        <v>1016</v>
      </c>
      <c r="E84" s="22">
        <v>960</v>
      </c>
      <c r="F84" s="22">
        <v>940</v>
      </c>
      <c r="G84" s="22">
        <v>1193</v>
      </c>
      <c r="H84" s="22">
        <v>5009</v>
      </c>
    </row>
    <row r="85" spans="2:8" x14ac:dyDescent="0.3">
      <c r="B85" s="28" t="s">
        <v>18</v>
      </c>
      <c r="C85" s="22">
        <v>900</v>
      </c>
      <c r="D85" s="22">
        <v>1470</v>
      </c>
      <c r="E85" s="22">
        <v>1617</v>
      </c>
      <c r="F85" s="22">
        <v>1314</v>
      </c>
      <c r="G85" s="22">
        <v>941</v>
      </c>
      <c r="H85" s="22">
        <v>6242</v>
      </c>
    </row>
    <row r="86" spans="2:8" x14ac:dyDescent="0.3">
      <c r="B86" s="28" t="s">
        <v>14</v>
      </c>
      <c r="C86" s="22">
        <v>1255</v>
      </c>
      <c r="D86" s="22">
        <v>516</v>
      </c>
      <c r="E86" s="22">
        <v>1874</v>
      </c>
      <c r="F86" s="22">
        <v>1863</v>
      </c>
      <c r="G86" s="22">
        <v>1722</v>
      </c>
      <c r="H86" s="22">
        <v>7230</v>
      </c>
    </row>
    <row r="87" spans="2:8" x14ac:dyDescent="0.3">
      <c r="B87" s="28" t="s">
        <v>19</v>
      </c>
      <c r="C87" s="22">
        <v>1138</v>
      </c>
      <c r="D87" s="22">
        <v>1898</v>
      </c>
      <c r="E87" s="22">
        <v>1482</v>
      </c>
      <c r="F87" s="22">
        <v>846</v>
      </c>
      <c r="G87" s="22">
        <v>1154</v>
      </c>
      <c r="H87" s="22">
        <v>6518</v>
      </c>
    </row>
    <row r="88" spans="2:8" x14ac:dyDescent="0.3">
      <c r="B88" s="25" t="s">
        <v>1000</v>
      </c>
    </row>
    <row r="89" spans="2:8" x14ac:dyDescent="0.3">
      <c r="B89" s="28" t="s">
        <v>17</v>
      </c>
      <c r="C89" s="22">
        <v>1655</v>
      </c>
      <c r="D89" s="22">
        <v>805</v>
      </c>
      <c r="E89" s="22">
        <v>2263</v>
      </c>
      <c r="F89" s="22">
        <v>987</v>
      </c>
      <c r="G89" s="22">
        <v>1075</v>
      </c>
      <c r="H89" s="22">
        <v>6785</v>
      </c>
    </row>
    <row r="90" spans="2:8" x14ac:dyDescent="0.3">
      <c r="B90" s="28" t="s">
        <v>23</v>
      </c>
      <c r="C90" s="22">
        <v>1104</v>
      </c>
      <c r="D90" s="22">
        <v>2280</v>
      </c>
      <c r="E90" s="22">
        <v>1445</v>
      </c>
      <c r="F90" s="22">
        <v>1722</v>
      </c>
      <c r="G90" s="22">
        <v>1196</v>
      </c>
      <c r="H90" s="22">
        <v>7747</v>
      </c>
    </row>
    <row r="91" spans="2:8" x14ac:dyDescent="0.3">
      <c r="B91" s="28" t="s">
        <v>7</v>
      </c>
      <c r="C91" s="22">
        <v>372</v>
      </c>
      <c r="D91" s="22">
        <v>1818</v>
      </c>
      <c r="E91" s="22">
        <v>1346</v>
      </c>
      <c r="F91" s="22">
        <v>1156</v>
      </c>
      <c r="G91" s="22">
        <v>1484</v>
      </c>
      <c r="H91" s="22">
        <v>6176</v>
      </c>
    </row>
    <row r="92" spans="2:8" x14ac:dyDescent="0.3">
      <c r="B92" s="28" t="s">
        <v>22</v>
      </c>
      <c r="C92" s="22">
        <v>1415</v>
      </c>
      <c r="D92" s="22">
        <v>1271</v>
      </c>
      <c r="E92" s="22">
        <v>1214</v>
      </c>
      <c r="F92" s="22">
        <v>1135</v>
      </c>
      <c r="G92" s="22">
        <v>1566</v>
      </c>
      <c r="H92" s="22">
        <v>6601</v>
      </c>
    </row>
    <row r="93" spans="2:8" x14ac:dyDescent="0.3">
      <c r="B93" s="28" t="s">
        <v>21</v>
      </c>
      <c r="C93" s="22">
        <v>1362</v>
      </c>
      <c r="D93" s="22">
        <v>1363</v>
      </c>
      <c r="E93" s="22">
        <v>1152</v>
      </c>
      <c r="F93" s="22">
        <v>777</v>
      </c>
      <c r="G93" s="22">
        <v>750</v>
      </c>
      <c r="H93" s="22">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AEC40-73D5-45E8-B2A3-6A4197C940BF}">
  <sheetPr>
    <tabColor theme="8"/>
  </sheetPr>
  <dimension ref="C1:V34"/>
  <sheetViews>
    <sheetView tabSelected="1" topLeftCell="A3" zoomScale="83" zoomScaleNormal="83" workbookViewId="0">
      <selection activeCell="J1" sqref="J1"/>
    </sheetView>
  </sheetViews>
  <sheetFormatPr defaultRowHeight="14.4" x14ac:dyDescent="0.3"/>
  <cols>
    <col min="1" max="1" width="3.69921875" style="20" customWidth="1"/>
    <col min="2" max="2" width="2.8984375" style="20" customWidth="1"/>
    <col min="3" max="4" width="8.796875" style="20"/>
    <col min="5" max="5" width="5.296875" style="20" customWidth="1"/>
    <col min="6" max="16" width="8.796875" style="20"/>
    <col min="17" max="17" width="11.19921875" style="20" customWidth="1"/>
    <col min="18" max="23" width="9.09765625" style="20" bestFit="1" customWidth="1"/>
    <col min="24" max="16384" width="8.796875" style="20"/>
  </cols>
  <sheetData>
    <row r="1" spans="3:22" ht="33.6" customHeight="1" x14ac:dyDescent="0.3">
      <c r="C1" s="41" t="s">
        <v>1077</v>
      </c>
    </row>
    <row r="16" spans="3:22" x14ac:dyDescent="0.3">
      <c r="P16" s="29"/>
      <c r="Q16" s="38" t="s">
        <v>11</v>
      </c>
      <c r="R16" s="38" t="s">
        <v>9</v>
      </c>
      <c r="S16" s="38" t="s">
        <v>6</v>
      </c>
      <c r="T16" s="38" t="s">
        <v>13</v>
      </c>
      <c r="U16" s="38" t="s">
        <v>10</v>
      </c>
      <c r="V16" s="39" t="s">
        <v>1076</v>
      </c>
    </row>
    <row r="17" spans="16:22" x14ac:dyDescent="0.3">
      <c r="P17" s="40" t="str">
        <f>Pivots!B76</f>
        <v>Cincinnati</v>
      </c>
      <c r="Q17" s="30"/>
      <c r="R17" s="30"/>
      <c r="S17" s="30"/>
      <c r="T17" s="30"/>
      <c r="U17" s="30"/>
      <c r="V17" s="31"/>
    </row>
    <row r="18" spans="16:22" x14ac:dyDescent="0.3">
      <c r="P18" s="32" t="str">
        <f>Pivots!B77</f>
        <v>C0003</v>
      </c>
      <c r="Q18" s="33">
        <f>Pivots!C77</f>
        <v>891</v>
      </c>
      <c r="R18" s="33">
        <f>Pivots!D77</f>
        <v>1332</v>
      </c>
      <c r="S18" s="33">
        <f>Pivots!E77</f>
        <v>1282</v>
      </c>
      <c r="T18" s="33">
        <f>Pivots!F77</f>
        <v>739</v>
      </c>
      <c r="U18" s="33">
        <f>Pivots!G77</f>
        <v>560</v>
      </c>
      <c r="V18" s="34">
        <f>Pivots!H77</f>
        <v>4804</v>
      </c>
    </row>
    <row r="19" spans="16:22" x14ac:dyDescent="0.3">
      <c r="P19" s="32" t="str">
        <f>Pivots!B78</f>
        <v>C0004</v>
      </c>
      <c r="Q19" s="33">
        <f>Pivots!C78</f>
        <v>1991</v>
      </c>
      <c r="R19" s="33">
        <f>Pivots!D78</f>
        <v>1886</v>
      </c>
      <c r="S19" s="33">
        <f>Pivots!E78</f>
        <v>1206</v>
      </c>
      <c r="T19" s="33">
        <f>Pivots!F78</f>
        <v>884</v>
      </c>
      <c r="U19" s="33">
        <f>Pivots!G78</f>
        <v>1722</v>
      </c>
      <c r="V19" s="34">
        <f>Pivots!H78</f>
        <v>7689</v>
      </c>
    </row>
    <row r="20" spans="16:22" x14ac:dyDescent="0.3">
      <c r="P20" s="32" t="str">
        <f>Pivots!B79</f>
        <v>C0011</v>
      </c>
      <c r="Q20" s="33">
        <f>Pivots!C79</f>
        <v>1163</v>
      </c>
      <c r="R20" s="33">
        <f>Pivots!D79</f>
        <v>1180</v>
      </c>
      <c r="S20" s="33">
        <f>Pivots!E79</f>
        <v>1616</v>
      </c>
      <c r="T20" s="33">
        <f>Pivots!F79</f>
        <v>1043</v>
      </c>
      <c r="U20" s="33">
        <f>Pivots!G79</f>
        <v>1747</v>
      </c>
      <c r="V20" s="34">
        <f>Pivots!H79</f>
        <v>6749</v>
      </c>
    </row>
    <row r="21" spans="16:22" x14ac:dyDescent="0.3">
      <c r="P21" s="32" t="str">
        <f>Pivots!B80</f>
        <v>C0012</v>
      </c>
      <c r="Q21" s="33">
        <f>Pivots!C80</f>
        <v>1438</v>
      </c>
      <c r="R21" s="33">
        <f>Pivots!D80</f>
        <v>1616</v>
      </c>
      <c r="S21" s="33">
        <f>Pivots!E80</f>
        <v>866</v>
      </c>
      <c r="T21" s="33">
        <f>Pivots!F80</f>
        <v>829</v>
      </c>
      <c r="U21" s="33">
        <f>Pivots!G80</f>
        <v>2070</v>
      </c>
      <c r="V21" s="34">
        <f>Pivots!H80</f>
        <v>6819</v>
      </c>
    </row>
    <row r="22" spans="16:22" x14ac:dyDescent="0.3">
      <c r="P22" s="40" t="str">
        <f>Pivots!B81</f>
        <v>Cleveland</v>
      </c>
      <c r="Q22" s="33"/>
      <c r="R22" s="33"/>
      <c r="S22" s="33"/>
      <c r="T22" s="33"/>
      <c r="U22" s="33"/>
      <c r="V22" s="34"/>
    </row>
    <row r="23" spans="16:22" x14ac:dyDescent="0.3">
      <c r="P23" s="32" t="str">
        <f>Pivots!B82</f>
        <v>C0002</v>
      </c>
      <c r="Q23" s="33">
        <f>Pivots!C82</f>
        <v>1233</v>
      </c>
      <c r="R23" s="33">
        <f>Pivots!D82</f>
        <v>223</v>
      </c>
      <c r="S23" s="33">
        <f>Pivots!E82</f>
        <v>1680</v>
      </c>
      <c r="T23" s="33">
        <f>Pivots!F82</f>
        <v>990</v>
      </c>
      <c r="U23" s="33">
        <f>Pivots!G82</f>
        <v>1508</v>
      </c>
      <c r="V23" s="34">
        <f>Pivots!H82</f>
        <v>5634</v>
      </c>
    </row>
    <row r="24" spans="16:22" x14ac:dyDescent="0.3">
      <c r="P24" s="32" t="str">
        <f>Pivots!B83</f>
        <v>C0007</v>
      </c>
      <c r="Q24" s="33">
        <f>Pivots!C83</f>
        <v>1598</v>
      </c>
      <c r="R24" s="33">
        <f>Pivots!D83</f>
        <v>1907</v>
      </c>
      <c r="S24" s="33">
        <f>Pivots!E83</f>
        <v>869</v>
      </c>
      <c r="T24" s="33">
        <f>Pivots!F83</f>
        <v>1426</v>
      </c>
      <c r="U24" s="33">
        <f>Pivots!G83</f>
        <v>1416</v>
      </c>
      <c r="V24" s="34">
        <f>Pivots!H83</f>
        <v>7216</v>
      </c>
    </row>
    <row r="25" spans="16:22" x14ac:dyDescent="0.3">
      <c r="P25" s="32" t="str">
        <f>Pivots!B84</f>
        <v>C0008</v>
      </c>
      <c r="Q25" s="33">
        <f>Pivots!C84</f>
        <v>900</v>
      </c>
      <c r="R25" s="33">
        <f>Pivots!D84</f>
        <v>1016</v>
      </c>
      <c r="S25" s="33">
        <f>Pivots!E84</f>
        <v>960</v>
      </c>
      <c r="T25" s="33">
        <f>Pivots!F84</f>
        <v>940</v>
      </c>
      <c r="U25" s="33">
        <f>Pivots!G84</f>
        <v>1193</v>
      </c>
      <c r="V25" s="34">
        <f>Pivots!H84</f>
        <v>5009</v>
      </c>
    </row>
    <row r="26" spans="16:22" x14ac:dyDescent="0.3">
      <c r="P26" s="32" t="str">
        <f>Pivots!B85</f>
        <v>C0010</v>
      </c>
      <c r="Q26" s="33">
        <f>Pivots!C85</f>
        <v>900</v>
      </c>
      <c r="R26" s="33">
        <f>Pivots!D85</f>
        <v>1470</v>
      </c>
      <c r="S26" s="33">
        <f>Pivots!E85</f>
        <v>1617</v>
      </c>
      <c r="T26" s="33">
        <f>Pivots!F85</f>
        <v>1314</v>
      </c>
      <c r="U26" s="33">
        <f>Pivots!G85</f>
        <v>941</v>
      </c>
      <c r="V26" s="34">
        <f>Pivots!H85</f>
        <v>6242</v>
      </c>
    </row>
    <row r="27" spans="16:22" x14ac:dyDescent="0.3">
      <c r="P27" s="32" t="str">
        <f>Pivots!B86</f>
        <v>C0013</v>
      </c>
      <c r="Q27" s="33">
        <f>Pivots!C86</f>
        <v>1255</v>
      </c>
      <c r="R27" s="33">
        <f>Pivots!D86</f>
        <v>516</v>
      </c>
      <c r="S27" s="33">
        <f>Pivots!E86</f>
        <v>1874</v>
      </c>
      <c r="T27" s="33">
        <f>Pivots!F86</f>
        <v>1863</v>
      </c>
      <c r="U27" s="33">
        <f>Pivots!G86</f>
        <v>1722</v>
      </c>
      <c r="V27" s="34">
        <f>Pivots!H86</f>
        <v>7230</v>
      </c>
    </row>
    <row r="28" spans="16:22" x14ac:dyDescent="0.3">
      <c r="P28" s="32" t="str">
        <f>Pivots!B87</f>
        <v>C0015</v>
      </c>
      <c r="Q28" s="33">
        <f>Pivots!C87</f>
        <v>1138</v>
      </c>
      <c r="R28" s="33">
        <f>Pivots!D87</f>
        <v>1898</v>
      </c>
      <c r="S28" s="33">
        <f>Pivots!E87</f>
        <v>1482</v>
      </c>
      <c r="T28" s="33">
        <f>Pivots!F87</f>
        <v>846</v>
      </c>
      <c r="U28" s="33">
        <f>Pivots!G87</f>
        <v>1154</v>
      </c>
      <c r="V28" s="34">
        <f>Pivots!H87</f>
        <v>6518</v>
      </c>
    </row>
    <row r="29" spans="16:22" x14ac:dyDescent="0.3">
      <c r="P29" s="40" t="str">
        <f>Pivots!B88</f>
        <v>Columbus</v>
      </c>
      <c r="Q29" s="33"/>
      <c r="R29" s="33"/>
      <c r="S29" s="33"/>
      <c r="T29" s="33"/>
      <c r="U29" s="33"/>
      <c r="V29" s="34"/>
    </row>
    <row r="30" spans="16:22" x14ac:dyDescent="0.3">
      <c r="P30" s="32" t="str">
        <f>Pivots!B89</f>
        <v>C0001</v>
      </c>
      <c r="Q30" s="33">
        <f>Pivots!C89</f>
        <v>1655</v>
      </c>
      <c r="R30" s="33">
        <f>Pivots!D89</f>
        <v>805</v>
      </c>
      <c r="S30" s="33">
        <f>Pivots!E89</f>
        <v>2263</v>
      </c>
      <c r="T30" s="33">
        <f>Pivots!F89</f>
        <v>987</v>
      </c>
      <c r="U30" s="33">
        <f>Pivots!G89</f>
        <v>1075</v>
      </c>
      <c r="V30" s="34">
        <f>Pivots!H89</f>
        <v>6785</v>
      </c>
    </row>
    <row r="31" spans="16:22" x14ac:dyDescent="0.3">
      <c r="P31" s="32" t="str">
        <f>Pivots!B90</f>
        <v>C0005</v>
      </c>
      <c r="Q31" s="33">
        <f>Pivots!C90</f>
        <v>1104</v>
      </c>
      <c r="R31" s="33">
        <f>Pivots!D90</f>
        <v>2280</v>
      </c>
      <c r="S31" s="33">
        <f>Pivots!E90</f>
        <v>1445</v>
      </c>
      <c r="T31" s="33">
        <f>Pivots!F90</f>
        <v>1722</v>
      </c>
      <c r="U31" s="33">
        <f>Pivots!G90</f>
        <v>1196</v>
      </c>
      <c r="V31" s="34">
        <f>Pivots!H90</f>
        <v>7747</v>
      </c>
    </row>
    <row r="32" spans="16:22" x14ac:dyDescent="0.3">
      <c r="P32" s="32" t="str">
        <f>Pivots!B91</f>
        <v>C0006</v>
      </c>
      <c r="Q32" s="33">
        <f>Pivots!C91</f>
        <v>372</v>
      </c>
      <c r="R32" s="33">
        <f>Pivots!D91</f>
        <v>1818</v>
      </c>
      <c r="S32" s="33">
        <f>Pivots!E91</f>
        <v>1346</v>
      </c>
      <c r="T32" s="33">
        <f>Pivots!F91</f>
        <v>1156</v>
      </c>
      <c r="U32" s="33">
        <f>Pivots!G91</f>
        <v>1484</v>
      </c>
      <c r="V32" s="34">
        <f>Pivots!H91</f>
        <v>6176</v>
      </c>
    </row>
    <row r="33" spans="16:22" x14ac:dyDescent="0.3">
      <c r="P33" s="32" t="str">
        <f>Pivots!B92</f>
        <v>C0009</v>
      </c>
      <c r="Q33" s="33">
        <f>Pivots!C92</f>
        <v>1415</v>
      </c>
      <c r="R33" s="33">
        <f>Pivots!D92</f>
        <v>1271</v>
      </c>
      <c r="S33" s="33">
        <f>Pivots!E92</f>
        <v>1214</v>
      </c>
      <c r="T33" s="33">
        <f>Pivots!F92</f>
        <v>1135</v>
      </c>
      <c r="U33" s="33">
        <f>Pivots!G92</f>
        <v>1566</v>
      </c>
      <c r="V33" s="34">
        <f>Pivots!H92</f>
        <v>6601</v>
      </c>
    </row>
    <row r="34" spans="16:22" x14ac:dyDescent="0.3">
      <c r="P34" s="35" t="str">
        <f>Pivots!B93</f>
        <v>C0014</v>
      </c>
      <c r="Q34" s="36">
        <f>Pivots!C93</f>
        <v>1362</v>
      </c>
      <c r="R34" s="36">
        <f>Pivots!D93</f>
        <v>1363</v>
      </c>
      <c r="S34" s="36">
        <f>Pivots!E93</f>
        <v>1152</v>
      </c>
      <c r="T34" s="36">
        <f>Pivots!F93</f>
        <v>777</v>
      </c>
      <c r="U34" s="36">
        <f>Pivots!G93</f>
        <v>750</v>
      </c>
      <c r="V34" s="37">
        <f>Pivots!H93</f>
        <v>5404</v>
      </c>
    </row>
  </sheetData>
  <conditionalFormatting sqref="Q18:U34">
    <cfRule type="dataBar" priority="2">
      <dataBar>
        <cfvo type="num" val="0"/>
        <cfvo type="formula" val="MAX($Q$18:$U$34)*2"/>
        <color theme="1" tint="0.14999847407452621"/>
      </dataBar>
      <extLst>
        <ext xmlns:x14="http://schemas.microsoft.com/office/spreadsheetml/2009/9/main" uri="{B025F937-C7B1-47D3-B67F-A62EFF666E3E}">
          <x14:id>{8111191F-F0B9-4AC1-962A-15B60C478033}</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111191F-F0B9-4AC1-962A-15B60C478033}">
            <x14:dataBar minLength="0" maxLength="100" gradient="0">
              <x14:cfvo type="num">
                <xm:f>0</xm:f>
              </x14:cfvo>
              <x14:cfvo type="formula">
                <xm:f>MAX($Q$18:$U$34)*2</xm:f>
              </x14:cfvo>
              <x14:negativeFillColor rgb="FFFF0000"/>
              <x14:axisColor rgb="FF000000"/>
            </x14:dataBar>
          </x14:cfRule>
          <xm:sqref>Q18:U34</xm:sqref>
        </x14:conditionalFormatting>
        <x14:conditionalFormatting xmlns:xm="http://schemas.microsoft.com/office/excel/2006/main">
          <x14:cfRule type="expression" priority="3" id="{A361CC13-BCDC-496D-A4B6-BBE5B00C6C08}">
            <xm:f>Q$16=Pivots!$B$38</xm:f>
            <x14:dxf>
              <fill>
                <patternFill>
                  <bgColor theme="8" tint="0.59996337778862885"/>
                </patternFill>
              </fill>
              <border>
                <left style="thin">
                  <color theme="1" tint="0.14996795556505021"/>
                </left>
                <right style="thin">
                  <color theme="1" tint="0.14996795556505021"/>
                </right>
                <vertical/>
                <horizontal/>
              </border>
            </x14:dxf>
          </x14:cfRule>
          <xm:sqref>Q16:U34</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H13" sqref="H13"/>
    </sheetView>
  </sheetViews>
  <sheetFormatPr defaultRowHeight="14.4" x14ac:dyDescent="0.3"/>
  <cols>
    <col min="5" max="5" width="10.8984375" customWidth="1"/>
    <col min="6" max="6" width="22.19921875"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Pivots</vt:lpstr>
      <vt:lpstr>Customer Centre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Joel George</cp:lastModifiedBy>
  <dcterms:created xsi:type="dcterms:W3CDTF">2021-03-14T20:21:32Z</dcterms:created>
  <dcterms:modified xsi:type="dcterms:W3CDTF">2026-07-03T05:30:05Z</dcterms:modified>
</cp:coreProperties>
</file>